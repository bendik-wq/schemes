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&amp;L" sheetId="2" state="visible" r:id="rId4"/>
    <sheet name="Balance Sheet" sheetId="3" state="visible" r:id="rId5"/>
    <sheet name="Cash Flow" sheetId="4" state="visible" r:id="rId6"/>
    <sheet name="Normalisation" sheetId="5" state="visible" r:id="rId7"/>
    <sheet name="Working Capital" sheetId="6" state="visible" r:id="rId8"/>
    <sheet name="Valuation Bridge" sheetId="7" state="visible" r:id="rId9"/>
    <sheet name="Funding &amp; DSCR" sheetId="8" state="visible" r:id="rId10"/>
    <sheet name="Red Flags" sheetId="9" state="visible" r:id="rId11"/>
    <sheet name="Video ide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<sst xmlns="http://schemas.openxmlformats.org/spreadsheetml/2006/main" count="384" uniqueCount="329">
  <si>
    <t xml:space="preserve">Kestrel Plumbing &amp; Gas Pty Ltd</t>
  </si>
  <si>
    <t xml:space="preserve">Example acquisition target for technical videos. Fictional.</t>
  </si>
  <si>
    <t xml:space="preserve">The business</t>
  </si>
  <si>
    <t xml:space="preserve">Commercial and residential plumbing and gas. 24 staff (18 field). One depot, 14 vans. Owner-founder, 61, wants to retire. Financial year ends 30 June. Figures in A$, ex GST.</t>
  </si>
  <si>
    <t xml:space="preserve">Story in the numbers</t>
  </si>
  <si>
    <t xml:space="preserve">Revenue up 22% in two years, but gross margin is sliding, debtor days are stretching, one builder is 21% of revenue, and the owner still works on the tools two days a week. The seller says adjusted EBITDA is about $968K. A buyer gets to about $614K.</t>
  </si>
  <si>
    <t xml:space="preserve">Tabs</t>
  </si>
  <si>
    <t xml:space="preserve">P&amp;L</t>
  </si>
  <si>
    <t xml:space="preserve">Three years of statutory-style profit and loss, revenue by service line.</t>
  </si>
  <si>
    <t xml:space="preserve">Balance Sheet</t>
  </si>
  <si>
    <t xml:space="preserve">Four year-ends (FY22 opening). Cash is the balancing item; drivers (debtor days etc.) sit at the bottom.</t>
  </si>
  <si>
    <t xml:space="preserve">Cash Flow</t>
  </si>
  <si>
    <t xml:space="preserve">Indirect method, built from the P&amp;L and balance-sheet movements. Reconciles to cash.</t>
  </si>
  <si>
    <t xml:space="preserve">Normalisation</t>
  </si>
  <si>
    <t xml:space="preserve">EBITDA add-backs: what the seller claims vs what a buyer accepts, line by line.</t>
  </si>
  <si>
    <t xml:space="preserve">Working Capital</t>
  </si>
  <si>
    <t xml:space="preserve">Debtor, creditor, WIP and stock days, NWC, the NWC peg and the completion adjustment.</t>
  </si>
  <si>
    <t xml:space="preserve">Valuation Bridge</t>
  </si>
  <si>
    <t xml:space="preserve">Enterprise value to equity: debt and debt-like items, surplus cash, NWC adjustment.</t>
  </si>
  <si>
    <t xml:space="preserve">Funding &amp; DSCR</t>
  </si>
  <si>
    <t xml:space="preserve">Bank + vendor finance, repayments, CFADS and DSCR at the buyer price vs the seller asking price.</t>
  </si>
  <si>
    <t xml:space="preserve">Red Flags</t>
  </si>
  <si>
    <t xml:space="preserve">The diligence checks that move the price, each calculated from the statements.</t>
  </si>
  <si>
    <t xml:space="preserve">Video ideas</t>
  </si>
  <si>
    <t xml:space="preserve">Technical video ideas, each tied to a tab.</t>
  </si>
  <si>
    <t xml:space="preserve">Colour code</t>
  </si>
  <si>
    <t xml:space="preserve">Blue text</t>
  </si>
  <si>
    <t xml:space="preserve">Hard-coded input. Change it and everything recalculates.</t>
  </si>
  <si>
    <t xml:space="preserve">Black text</t>
  </si>
  <si>
    <t xml:space="preserve">Formula.</t>
  </si>
  <si>
    <t xml:space="preserve">Green text</t>
  </si>
  <si>
    <t xml:space="preserve">Pulled from another tab.</t>
  </si>
  <si>
    <t xml:space="preserve">Yellow fill</t>
  </si>
  <si>
    <t xml:space="preserve">Key assumption to play with on camera.</t>
  </si>
  <si>
    <t xml:space="preserve">Red fill</t>
  </si>
  <si>
    <t xml:space="preserve">A check or flag.</t>
  </si>
  <si>
    <t xml:space="preserve">Profit and loss statement · years ended 30 June · A$ ex GST</t>
  </si>
  <si>
    <t xml:space="preserve">Kestrel Plumbing &amp; Gas Pty Ltd is a fictional company built for teaching. Any resemblance to a real business is coincidental.</t>
  </si>
  <si>
    <t xml:space="preserve">A$</t>
  </si>
  <si>
    <t xml:space="preserve">FY23</t>
  </si>
  <si>
    <t xml:space="preserve">FY24</t>
  </si>
  <si>
    <t xml:space="preserve">FY25</t>
  </si>
  <si>
    <t xml:space="preserve">Revenue</t>
  </si>
  <si>
    <t xml:space="preserve">Maintenance contracts</t>
  </si>
  <si>
    <t xml:space="preserve">Annual service agreements, strata and commercial</t>
  </si>
  <si>
    <t xml:space="preserve">Reactive and emergency</t>
  </si>
  <si>
    <t xml:space="preserve">Call-outs, after-hours</t>
  </si>
  <si>
    <t xml:space="preserve">Projects and new build</t>
  </si>
  <si>
    <t xml:space="preserve">Includes one builder, see Red Flags</t>
  </si>
  <si>
    <t xml:space="preserve">Total revenue</t>
  </si>
  <si>
    <t xml:space="preserve">Cost of sales</t>
  </si>
  <si>
    <t xml:space="preserve">Direct labour (field staff incl. super)</t>
  </si>
  <si>
    <t xml:space="preserve">Materials</t>
  </si>
  <si>
    <t xml:space="preserve">Subcontractors</t>
  </si>
  <si>
    <t xml:space="preserve">Fleet running costs (fuel, rego, servicing)</t>
  </si>
  <si>
    <t xml:space="preserve">Total cost of sales</t>
  </si>
  <si>
    <t xml:space="preserve">Gross profit</t>
  </si>
  <si>
    <t xml:space="preserve">Gross margin %</t>
  </si>
  <si>
    <t xml:space="preserve">Operating expenses</t>
  </si>
  <si>
    <t xml:space="preserve">Director salary (owner, incl. super)</t>
  </si>
  <si>
    <t xml:space="preserve">Owner also works on the tools ~2 days/week</t>
  </si>
  <si>
    <t xml:space="preserve">Spouse wages (bookkeeping)</t>
  </si>
  <si>
    <t xml:space="preserve">Family member on payroll</t>
  </si>
  <si>
    <t xml:space="preserve">Office and admin wages</t>
  </si>
  <si>
    <t xml:space="preserve">Rent: depot (paid to owner's property trust)</t>
  </si>
  <si>
    <t xml:space="preserve">Related-party lease</t>
  </si>
  <si>
    <t xml:space="preserve">Marketing and advertising</t>
  </si>
  <si>
    <t xml:space="preserve">Insurance</t>
  </si>
  <si>
    <t xml:space="preserve">Software and IT</t>
  </si>
  <si>
    <t xml:space="preserve">Accounting and legal</t>
  </si>
  <si>
    <t xml:space="preserve">FY25 includes contract dispute with a builder</t>
  </si>
  <si>
    <t xml:space="preserve">Motor vehicles: owner and spouse cars</t>
  </si>
  <si>
    <t xml:space="preserve">Telephone and utilities</t>
  </si>
  <si>
    <t xml:space="preserve">Training and licences</t>
  </si>
  <si>
    <t xml:space="preserve">Bad debts written off</t>
  </si>
  <si>
    <t xml:space="preserve">Other expenses</t>
  </si>
  <si>
    <t xml:space="preserve">Total operating expenses</t>
  </si>
  <si>
    <t xml:space="preserve">EBITDA (reported)</t>
  </si>
  <si>
    <t xml:space="preserve">EBITDA margin %</t>
  </si>
  <si>
    <t xml:space="preserve">Depreciation and amortisation</t>
  </si>
  <si>
    <t xml:space="preserve">EBIT</t>
  </si>
  <si>
    <t xml:space="preserve">Interest (equipment finance)</t>
  </si>
  <si>
    <t xml:space="preserve">Net profit before tax</t>
  </si>
  <si>
    <t xml:space="preserve">Company tax rate</t>
  </si>
  <si>
    <t xml:space="preserve">Base rate entity</t>
  </si>
  <si>
    <t xml:space="preserve">Income tax expense</t>
  </si>
  <si>
    <t xml:space="preserve">Net profit after tax</t>
  </si>
  <si>
    <t xml:space="preserve">Balance sheet · as at 30 June · A$</t>
  </si>
  <si>
    <t xml:space="preserve">FY22</t>
  </si>
  <si>
    <t xml:space="preserve">Current assets</t>
  </si>
  <si>
    <t xml:space="preserve">Cash at bank</t>
  </si>
  <si>
    <t xml:space="preserve">Balancing item: equals liabilities + equity less other assets</t>
  </si>
  <si>
    <t xml:space="preserve">Trade debtors</t>
  </si>
  <si>
    <t xml:space="preserve">Driven by debtor days</t>
  </si>
  <si>
    <t xml:space="preserve">Contract assets (unbilled work in progress)</t>
  </si>
  <si>
    <t xml:space="preserve">Inventory (van and depot stock)</t>
  </si>
  <si>
    <t xml:space="preserve">Prepayments</t>
  </si>
  <si>
    <t xml:space="preserve">Loan to director</t>
  </si>
  <si>
    <t xml:space="preserve">Div 7A loan. Not an operating asset</t>
  </si>
  <si>
    <t xml:space="preserve">Total current assets</t>
  </si>
  <si>
    <t xml:space="preserve">Non-current assets</t>
  </si>
  <si>
    <t xml:space="preserve">Plant, equipment and vehicles at cost</t>
  </si>
  <si>
    <t xml:space="preserve">Less accumulated depreciation</t>
  </si>
  <si>
    <t xml:space="preserve">Net plant, equipment and vehicles</t>
  </si>
  <si>
    <t xml:space="preserve">TOTAL ASSETS</t>
  </si>
  <si>
    <t xml:space="preserve">Current liabilities</t>
  </si>
  <si>
    <t xml:space="preserve">Trade creditors</t>
  </si>
  <si>
    <t xml:space="preserve">Materials + subcontractors x creditor days</t>
  </si>
  <si>
    <t xml:space="preserve">Accrued expenses</t>
  </si>
  <si>
    <t xml:space="preserve">GST payable</t>
  </si>
  <si>
    <t xml:space="preserve">PAYG withholding and super payable</t>
  </si>
  <si>
    <t xml:space="preserve">Provision for annual leave</t>
  </si>
  <si>
    <t xml:space="preserve">Owed to staff</t>
  </si>
  <si>
    <t xml:space="preserve">Provision for long service leave (current)</t>
  </si>
  <si>
    <t xml:space="preserve">Income tax payable</t>
  </si>
  <si>
    <t xml:space="preserve">Equipment finance (current)</t>
  </si>
  <si>
    <t xml:space="preserve">Total current liabilities</t>
  </si>
  <si>
    <t xml:space="preserve">Non-current liabilities</t>
  </si>
  <si>
    <t xml:space="preserve">Provision for long service leave (non-current)</t>
  </si>
  <si>
    <t xml:space="preserve">Equipment finance (non-current)</t>
  </si>
  <si>
    <t xml:space="preserve">Total non-current liabilities</t>
  </si>
  <si>
    <t xml:space="preserve">TOTAL LIABILITIES</t>
  </si>
  <si>
    <t xml:space="preserve">NET ASSETS</t>
  </si>
  <si>
    <t xml:space="preserve">Equity</t>
  </si>
  <si>
    <t xml:space="preserve">Share capital</t>
  </si>
  <si>
    <t xml:space="preserve">100 ordinary shares at $1</t>
  </si>
  <si>
    <t xml:space="preserve">Retained earnings</t>
  </si>
  <si>
    <t xml:space="preserve">TOTAL EQUITY</t>
  </si>
  <si>
    <t xml:space="preserve">Check: net assets less equity (must be 0)</t>
  </si>
  <si>
    <t xml:space="preserve">Drivers (change these on camera)</t>
  </si>
  <si>
    <t xml:space="preserve">Debtor days (on revenue)</t>
  </si>
  <si>
    <t xml:space="preserve">Creditor days (on materials + subcontractors)</t>
  </si>
  <si>
    <t xml:space="preserve">Capex: vans and equipment bought</t>
  </si>
  <si>
    <t xml:space="preserve">Dividends paid to owner</t>
  </si>
  <si>
    <t xml:space="preserve">Cash flow statement (indirect method) · years ended 30 June · A$</t>
  </si>
  <si>
    <t xml:space="preserve">Operating activities</t>
  </si>
  <si>
    <t xml:space="preserve">Add: depreciation</t>
  </si>
  <si>
    <t xml:space="preserve">(Increase) in trade debtors</t>
  </si>
  <si>
    <t xml:space="preserve">(Increase) in contract assets</t>
  </si>
  <si>
    <t xml:space="preserve">(Increase) in inventory</t>
  </si>
  <si>
    <t xml:space="preserve">(Increase) in prepayments</t>
  </si>
  <si>
    <t xml:space="preserve">Increase in trade creditors</t>
  </si>
  <si>
    <t xml:space="preserve">Increase in accrued expenses</t>
  </si>
  <si>
    <t xml:space="preserve">Increase in GST payable</t>
  </si>
  <si>
    <t xml:space="preserve">Increase in PAYG and super payable</t>
  </si>
  <si>
    <t xml:space="preserve">Increase in annual leave provision</t>
  </si>
  <si>
    <t xml:space="preserve">Increase in LSL provision (current)</t>
  </si>
  <si>
    <t xml:space="preserve">Increase in LSL provision (non-current)</t>
  </si>
  <si>
    <t xml:space="preserve">Increase in income tax payable</t>
  </si>
  <si>
    <t xml:space="preserve">Net cash from operating activities</t>
  </si>
  <si>
    <t xml:space="preserve">Investing activities</t>
  </si>
  <si>
    <t xml:space="preserve">Purchase of vans and equipment</t>
  </si>
  <si>
    <t xml:space="preserve">Net cash from investing activities</t>
  </si>
  <si>
    <t xml:space="preserve">Financing activities</t>
  </si>
  <si>
    <t xml:space="preserve">Net equipment finance drawn / (repaid)</t>
  </si>
  <si>
    <t xml:space="preserve">Loans to director</t>
  </si>
  <si>
    <t xml:space="preserve">Cash out to the owner, outside the P&amp;L</t>
  </si>
  <si>
    <t xml:space="preserve">Dividends paid</t>
  </si>
  <si>
    <t xml:space="preserve">Net cash from financing activities</t>
  </si>
  <si>
    <t xml:space="preserve">Net change in cash</t>
  </si>
  <si>
    <t xml:space="preserve">Opening cash</t>
  </si>
  <si>
    <t xml:space="preserve">Closing cash</t>
  </si>
  <si>
    <t xml:space="preserve">Check: closing cash less balance sheet cash (must be 0)</t>
  </si>
  <si>
    <t xml:space="preserve">Free cash flow (operating less capex)</t>
  </si>
  <si>
    <t xml:space="preserve">Cash conversion (operating cash / EBITDA)</t>
  </si>
  <si>
    <t xml:space="preserve">Total cash to owner (dividends + director loan)</t>
  </si>
  <si>
    <t xml:space="preserve">EBITDA normalisation · FY25 · what the seller claims vs what a buyer accepts</t>
  </si>
  <si>
    <t xml:space="preserve">Seller claims</t>
  </si>
  <si>
    <t xml:space="preserve">Buyer accepts</t>
  </si>
  <si>
    <t xml:space="preserve">Gap</t>
  </si>
  <si>
    <t xml:space="preserve">Why the buyer disagrees</t>
  </si>
  <si>
    <t xml:space="preserve">Reported EBITDA FY25</t>
  </si>
  <si>
    <t xml:space="preserve">Adjustments</t>
  </si>
  <si>
    <t xml:space="preserve">Owner salary</t>
  </si>
  <si>
    <t xml:space="preserve">A replacement general manager costs about $160K. Only the excess over market is an add-back, not the whole salary.</t>
  </si>
  <si>
    <t xml:space="preserve">Spouse wages</t>
  </si>
  <si>
    <t xml:space="preserve">She does the books. Replacing her costs about $75K, so nothing comes back.</t>
  </si>
  <si>
    <t xml:space="preserve">Rent above market (related party)</t>
  </si>
  <si>
    <t xml:space="preserve">Market rent for the depot is about $72K. Accepted only if a new lease at market is signed at completion.</t>
  </si>
  <si>
    <t xml:space="preserve">Owner and spouse cars</t>
  </si>
  <si>
    <t xml:space="preserve">The ute is used for site visits; about $12K stays as a real cost.</t>
  </si>
  <si>
    <t xml:space="preserve">One-off legal dispute</t>
  </si>
  <si>
    <t xml:space="preserve">Genuinely one-off: the dispute is settled. Accepted with the settlement deed.</t>
  </si>
  <si>
    <t xml:space="preserve">Bad debt spike</t>
  </si>
  <si>
    <t xml:space="preserve">The builder who didn't pay is still 21% of revenue. Risk of a repeat.</t>
  </si>
  <si>
    <t xml:space="preserve">Price rise from 1 July (pro forma)</t>
  </si>
  <si>
    <t xml:space="preserve">Not earned yet. Buyers pay for history, not a promise.</t>
  </si>
  <si>
    <t xml:space="preserve">Owner on the tools 2 days a week</t>
  </si>
  <si>
    <t xml:space="preserve">When the owner leaves, a technician must be hired. This adjustment goes the other way.</t>
  </si>
  <si>
    <t xml:space="preserve">Total adjustments</t>
  </si>
  <si>
    <t xml:space="preserve">Adjusted EBITDA FY25</t>
  </si>
  <si>
    <t xml:space="preserve">Multiple</t>
  </si>
  <si>
    <t xml:space="preserve">Implied enterprise value</t>
  </si>
  <si>
    <t xml:space="preserve">Same multiple, different EBITDA. The argument is never about the multiple first; it is about which add-backs are real.</t>
  </si>
  <si>
    <t xml:space="preserve">Net working capital · as at 30 June · A$</t>
  </si>
  <si>
    <t xml:space="preserve">Operating working capital</t>
  </si>
  <si>
    <t xml:space="preserve">Contract assets</t>
  </si>
  <si>
    <t xml:space="preserve">Inventory</t>
  </si>
  <si>
    <t xml:space="preserve">Less trade creditors</t>
  </si>
  <si>
    <t xml:space="preserve">Less accrued expenses</t>
  </si>
  <si>
    <t xml:space="preserve">Less GST payable</t>
  </si>
  <si>
    <t xml:space="preserve">Less PAYG and super payable</t>
  </si>
  <si>
    <t xml:space="preserve">Net working capital</t>
  </si>
  <si>
    <t xml:space="preserve">NWC as % of revenue</t>
  </si>
  <si>
    <t xml:space="preserve">Excluded on purpose: cash, director loan, tax payable, leave provisions, equipment finance (cash or debt-like, see Valuation Bridge).</t>
  </si>
  <si>
    <t xml:space="preserve">Days</t>
  </si>
  <si>
    <t xml:space="preserve">Debtor days</t>
  </si>
  <si>
    <t xml:space="preserve">WIP days (on revenue)</t>
  </si>
  <si>
    <t xml:space="preserve">Stock days (on materials)</t>
  </si>
  <si>
    <t xml:space="preserve">Cash conversion cycle</t>
  </si>
  <si>
    <t xml:space="preserve">NWC peg and completion adjustment</t>
  </si>
  <si>
    <t xml:space="preserve">Peg: average NWC % of revenue, FY23–FY25</t>
  </si>
  <si>
    <t xml:space="preserve">Peg in dollars (on FY25 revenue)</t>
  </si>
  <si>
    <t xml:space="preserve">NWC delivered at completion (FY25 close)</t>
  </si>
  <si>
    <t xml:space="preserve">Completion adjustment (+ buyer pays more / − price falls)</t>
  </si>
  <si>
    <t xml:space="preserve">Every extra debtor day at FY25 revenue ties up about this much cash:</t>
  </si>
  <si>
    <t xml:space="preserve">Enterprise value to equity value · cash-free, debt-free · A$</t>
  </si>
  <si>
    <t xml:space="preserve">Buyer view</t>
  </si>
  <si>
    <t xml:space="preserve">Seller view</t>
  </si>
  <si>
    <t xml:space="preserve">Note</t>
  </si>
  <si>
    <t xml:space="preserve">Enterprise value</t>
  </si>
  <si>
    <t xml:space="preserve">Less debt and debt-like items</t>
  </si>
  <si>
    <t xml:space="preserve">Equipment finance</t>
  </si>
  <si>
    <t xml:space="preserve">Real debt. Always comes off.</t>
  </si>
  <si>
    <t xml:space="preserve">Long service leave owed to staff</t>
  </si>
  <si>
    <t xml:space="preserve">Seller says it's part of the business. Buyer says it's a debt the seller built up.</t>
  </si>
  <si>
    <t xml:space="preserve">Annual leave owed to staff</t>
  </si>
  <si>
    <t xml:space="preserve">Often negotiated: sometimes in NWC, sometimes debt-like.</t>
  </si>
  <si>
    <t xml:space="preserve">Tax on profits the seller already earned.</t>
  </si>
  <si>
    <t xml:space="preserve">Director loan settled before completion</t>
  </si>
  <si>
    <t xml:space="preserve">Excluded: the $140K Div 7A loan must be repaid or cleared by the seller, not bought.</t>
  </si>
  <si>
    <t xml:space="preserve">Total debt and debt-like</t>
  </si>
  <si>
    <t xml:space="preserve">Plus cash and working capital</t>
  </si>
  <si>
    <t xml:space="preserve">Minimum operating cash left in the business</t>
  </si>
  <si>
    <t xml:space="preserve">Cash needed to run payroll; not a bonus for the seller.</t>
  </si>
  <si>
    <t xml:space="preserve">Surplus cash paid to seller</t>
  </si>
  <si>
    <t xml:space="preserve">NWC adjustment vs peg</t>
  </si>
  <si>
    <t xml:space="preserve">Seller ignores the peg. Buyer applies it.</t>
  </si>
  <si>
    <t xml:space="preserve">Equity value (price for the shares)</t>
  </si>
  <si>
    <t xml:space="preserve">Gap between the two views</t>
  </si>
  <si>
    <t xml:space="preserve">How the deal is paid for, and whether the business can carry it · A$</t>
  </si>
  <si>
    <t xml:space="preserve">Seller asking</t>
  </si>
  <si>
    <t xml:space="preserve">Buyer price</t>
  </si>
  <si>
    <t xml:space="preserve">Buyer price, restructured</t>
  </si>
  <si>
    <t xml:space="preserve">Enterprise value (purchase price)</t>
  </si>
  <si>
    <t xml:space="preserve">Column 3 keeps the buyer price and changes only the terms.</t>
  </si>
  <si>
    <t xml:space="preserve">Funding stack</t>
  </si>
  <si>
    <t xml:space="preserve">Bank share of price</t>
  </si>
  <si>
    <t xml:space="preserve">Vendor finance share of price</t>
  </si>
  <si>
    <t xml:space="preserve">Buyer cash</t>
  </si>
  <si>
    <t xml:space="preserve">No money down when this is 0%</t>
  </si>
  <si>
    <t xml:space="preserve">Bank loan</t>
  </si>
  <si>
    <t xml:space="preserve">Vendor loan</t>
  </si>
  <si>
    <t xml:space="preserve">Terms</t>
  </si>
  <si>
    <t xml:space="preserve">Bank rate</t>
  </si>
  <si>
    <t xml:space="preserve">Bank term (years)</t>
  </si>
  <si>
    <t xml:space="preserve">Vendor rate</t>
  </si>
  <si>
    <t xml:space="preserve">Vendor term (years)</t>
  </si>
  <si>
    <t xml:space="preserve">Long vendor terms are what make the deal carry.</t>
  </si>
  <si>
    <t xml:space="preserve">Bank repayment per year (P&amp;I)</t>
  </si>
  <si>
    <t xml:space="preserve">Vendor repayment per year (P&amp;I)</t>
  </si>
  <si>
    <t xml:space="preserve">Total debt service</t>
  </si>
  <si>
    <t xml:space="preserve">Cash available for debt service (year 1)</t>
  </si>
  <si>
    <t xml:space="preserve">Adjusted EBITDA (buyer view in every column)</t>
  </si>
  <si>
    <t xml:space="preserve">The bank lends on real EBITDA, whatever price you agree.</t>
  </si>
  <si>
    <t xml:space="preserve">Less maintenance capex (3-yr average)</t>
  </si>
  <si>
    <t xml:space="preserve">Less tax (EBITDA less D&amp;A less year-1 interest, x rate)</t>
  </si>
  <si>
    <t xml:space="preserve">CFADS</t>
  </si>
  <si>
    <t xml:space="preserve">DSCR (CFADS / debt service)</t>
  </si>
  <si>
    <t xml:space="preserve">Target DSCR</t>
  </si>
  <si>
    <t xml:space="preserve">Verdict</t>
  </si>
  <si>
    <t xml:space="preserve">What the business can carry</t>
  </si>
  <si>
    <t xml:space="preserve">Max debt service at target DSCR</t>
  </si>
  <si>
    <t xml:space="preserve">Headroom / (shortfall) per year</t>
  </si>
  <si>
    <t xml:space="preserve">Diligence checks calculated from the statements</t>
  </si>
  <si>
    <t xml:space="preserve">Why it matters</t>
  </si>
  <si>
    <t xml:space="preserve">Largest customer revenue (one builder)</t>
  </si>
  <si>
    <t xml:space="preserve">Input: from the aged debtors and sales ledger.</t>
  </si>
  <si>
    <t xml:space="preserve">Largest customer % of revenue</t>
  </si>
  <si>
    <t xml:space="preserve">Over 20% and rising. Lose the builder and about a fifth of revenue goes with it.</t>
  </si>
  <si>
    <t xml:space="preserve">Revenue growth</t>
  </si>
  <si>
    <t xml:space="preserve">Healthy top line. The question is what kind of revenue.</t>
  </si>
  <si>
    <t xml:space="preserve">Gross margin</t>
  </si>
  <si>
    <t xml:space="preserve">Falling every year while projects grow. Projects work for the builder is probably low margin.</t>
  </si>
  <si>
    <t xml:space="preserve">Stretching. Customers are paying slower, and the builder is the likely cause.</t>
  </si>
  <si>
    <t xml:space="preserve">Bad debts % of revenue</t>
  </si>
  <si>
    <t xml:space="preserve">Tripled in FY25. Same customer as the legal dispute.</t>
  </si>
  <si>
    <t xml:space="preserve">Below 80% means profit is turning into debtors, not cash.</t>
  </si>
  <si>
    <t xml:space="preserve">Cash taken by owner (dividends + director loan)</t>
  </si>
  <si>
    <t xml:space="preserve">Compare with free cash flow. Is the owner taking more than the business makes?</t>
  </si>
  <si>
    <t xml:space="preserve">Free cash flow</t>
  </si>
  <si>
    <t xml:space="preserve">Loan to director (Div 7A)</t>
  </si>
  <si>
    <t xml:space="preserve">Cash leaving the business without going through the P&amp;L. Must be cleared before completion.</t>
  </si>
  <si>
    <t xml:space="preserve">Staff leave owed (annual + long service)</t>
  </si>
  <si>
    <t xml:space="preserve">Unfunded promise to staff. Who pays it is a price negotiation.</t>
  </si>
  <si>
    <t xml:space="preserve">Related-party rent</t>
  </si>
  <si>
    <t xml:space="preserve">Paid to the owner's trust, above market. Needs a new lease at market rent at completion.</t>
  </si>
  <si>
    <t xml:space="preserve">Owner salary as % of EBITDA</t>
  </si>
  <si>
    <t xml:space="preserve">And the owner is on the tools two days a week. A buyer has to replace both jobs.</t>
  </si>
  <si>
    <t xml:space="preserve">Technical videos from this one target</t>
  </si>
  <si>
    <t xml:space="preserve">Title</t>
  </si>
  <si>
    <t xml:space="preserve">Tab</t>
  </si>
  <si>
    <t xml:space="preserve">What to show on screen</t>
  </si>
  <si>
    <t xml:space="preserve">The Seller Said $968K EBITDA. I Got $614K. (Add-Back Teardown)</t>
  </si>
  <si>
    <t xml:space="preserve">Go line by line: which add-backs survive and why. End on the $1.4M valuation gap.</t>
  </si>
  <si>
    <t xml:space="preserve">If You Can't Read A Balance Sheet, You Can't Buy A Business</t>
  </si>
  <si>
    <t xml:space="preserve">Walk top to bottom: what each line means for a buyer, then the 3 lines that change the price.</t>
  </si>
  <si>
    <t xml:space="preserve">Enterprise Value vs Equity Value: Where $500K Disappears At Settlement</t>
  </si>
  <si>
    <t xml:space="preserve">Same business, two bridges. Debt-like items, leave provisions, surplus cash.</t>
  </si>
  <si>
    <t xml:space="preserve">The Most Valuable Working Capital Training You'll Ever Watch (The NWC Peg)</t>
  </si>
  <si>
    <t xml:space="preserve">Build the peg live, then change debtor days by 10 and show what it costs at completion.</t>
  </si>
  <si>
    <t xml:space="preserve">Every Line Of A P&amp;L A Buyer Questions (Real Example)</t>
  </si>
  <si>
    <t xml:space="preserve">Owner salary, family wages, related-party rent, bad debts, legal. What each hides.</t>
  </si>
  <si>
    <t xml:space="preserve">Profit Isn't Cash: Reading A Cash Flow Statement Like A Buyer</t>
  </si>
  <si>
    <t xml:space="preserve">Profit vs operating cash, cash conversion, and cash quietly taken by the owner.</t>
  </si>
  <si>
    <t xml:space="preserve">DSCR Explained With A Real Deal: Same Price, Different Terms, Different Answer</t>
  </si>
  <si>
    <t xml:space="preserve">Three columns: seller price fails, buyer price on standard terms fails, buyer price on restructured terms passes 1.5×.</t>
  </si>
  <si>
    <t xml:space="preserve">11 Red Flags Hiding In A $4.2M Business's Financials</t>
  </si>
  <si>
    <t xml:space="preserve">One by one, each calculated from the statements.</t>
  </si>
  <si>
    <t xml:space="preserve">What Is A Div 7A Loan, And Why It Matters When You Buy</t>
  </si>
  <si>
    <t xml:space="preserve">The $140K loan to the director, and how to clear it before completion.</t>
  </si>
  <si>
    <t xml:space="preserve">Annual Leave, Long Service Leave: The $230K Debt Nobody Puts In The Price</t>
  </si>
  <si>
    <t xml:space="preserve">Who pays accrued leave, and how it changes the price.</t>
  </si>
  <si>
    <t xml:space="preserve">Watch Me Price This $4.2M Plumbing Business Live (Full Model)</t>
  </si>
  <si>
    <t xml:space="preserve">All tabs</t>
  </si>
  <si>
    <t xml:space="preserve">End to end in one sitting: P&amp;L, normalise, bridge, fund, DSCR.</t>
  </si>
  <si>
    <t xml:space="preserve">Gross Margin Is Falling And Revenue Is Rising. Here's Why That's A Problem</t>
  </si>
  <si>
    <t xml:space="preserve">P&amp;L / Red Flags</t>
  </si>
  <si>
    <t xml:space="preserve">Mix shift to projects for one builder; the margin story behind growth.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</si>
</sst>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&quot; days&quot;"/>
    <numFmt numFmtId="168" formatCode="0.00\x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E4D6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35.0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25</v>
      </c>
    </row>
    <row r="19" customFormat="false" ht="15" hidden="false" customHeight="false" outlineLevel="0" collapsed="false">
      <c r="A19" s="5" t="s">
        <v>26</v>
      </c>
      <c r="B19" s="4" t="s">
        <v>27</v>
      </c>
    </row>
    <row r="20" customFormat="false" ht="15" hidden="false" customHeight="false" outlineLevel="0" collapsed="false">
      <c r="A20" s="3" t="s">
        <v>28</v>
      </c>
      <c r="B20" s="4" t="s">
        <v>29</v>
      </c>
    </row>
    <row r="21" customFormat="false" ht="15" hidden="false" customHeight="false" outlineLevel="0" collapsed="false">
      <c r="A21" s="6" t="s">
        <v>30</v>
      </c>
      <c r="B21" s="4" t="s">
        <v>31</v>
      </c>
    </row>
    <row r="22" customFormat="false" ht="15" hidden="false" customHeight="false" outlineLevel="0" collapsed="false">
      <c r="A22" s="7" t="s">
        <v>32</v>
      </c>
      <c r="B22" s="4" t="s">
        <v>33</v>
      </c>
    </row>
    <row r="23" customFormat="false" ht="15" hidden="false" customHeight="false" outlineLevel="0" collapsed="false">
      <c r="A23" s="8" t="s">
        <v>34</v>
      </c>
      <c r="B23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36</v>
      </c>
    </row>
    <row r="3" customFormat="false" ht="15" hidden="false" customHeight="false" outlineLevel="0" collapsed="false">
      <c r="A3" s="2" t="s">
        <v>37</v>
      </c>
    </row>
    <row r="5" customFormat="false" ht="15" hidden="false" customHeight="false" outlineLevel="0" collapsed="false">
      <c r="A5" s="9" t="s">
        <v>38</v>
      </c>
      <c r="B5" s="10" t="s">
        <v>39</v>
      </c>
      <c r="C5" s="10" t="s">
        <v>40</v>
      </c>
      <c r="D5" s="10" t="s">
        <v>41</v>
      </c>
    </row>
    <row r="6" customFormat="false" ht="15" hidden="false" customHeight="false" outlineLevel="0" collapsed="false">
      <c r="A6" s="11" t="s">
        <v>42</v>
      </c>
      <c r="B6" s="12"/>
      <c r="C6" s="12"/>
      <c r="D6" s="12"/>
      <c r="E6" s="12"/>
    </row>
    <row r="7" customFormat="false" ht="15" hidden="false" customHeight="false" outlineLevel="0" collapsed="false">
      <c r="A7" s="13" t="s">
        <v>43</v>
      </c>
      <c r="B7" s="14" t="n">
        <v>1147569</v>
      </c>
      <c r="C7" s="14" t="n">
        <v>1274637</v>
      </c>
      <c r="D7" s="14" t="n">
        <v>1412554</v>
      </c>
      <c r="E7" s="2" t="s">
        <v>44</v>
      </c>
    </row>
    <row r="8" customFormat="false" ht="15" hidden="false" customHeight="false" outlineLevel="0" collapsed="false">
      <c r="A8" s="13" t="s">
        <v>45</v>
      </c>
      <c r="B8" s="14" t="n">
        <v>1313227</v>
      </c>
      <c r="C8" s="14" t="n">
        <v>1410607</v>
      </c>
      <c r="D8" s="14" t="n">
        <v>1517550</v>
      </c>
      <c r="E8" s="2" t="s">
        <v>46</v>
      </c>
    </row>
    <row r="9" customFormat="false" ht="15" hidden="false" customHeight="false" outlineLevel="0" collapsed="false">
      <c r="A9" s="13" t="s">
        <v>47</v>
      </c>
      <c r="B9" s="14" t="n">
        <v>974802</v>
      </c>
      <c r="C9" s="14" t="n">
        <v>1150103</v>
      </c>
      <c r="D9" s="14" t="n">
        <v>1262951</v>
      </c>
      <c r="E9" s="2" t="s">
        <v>48</v>
      </c>
    </row>
    <row r="10" customFormat="false" ht="15" hidden="false" customHeight="false" outlineLevel="0" collapsed="false">
      <c r="A10" s="3" t="s">
        <v>49</v>
      </c>
      <c r="B10" s="15" t="n">
        <f aca="false">SUM(B7:B9)</f>
        <v>3435598</v>
      </c>
      <c r="C10" s="15" t="n">
        <f aca="false">SUM(C7:C9)</f>
        <v>3835347</v>
      </c>
      <c r="D10" s="15" t="n">
        <f aca="false">SUM(D7:D9)</f>
        <v>4193055</v>
      </c>
    </row>
    <row r="12" customFormat="false" ht="15" hidden="false" customHeight="false" outlineLevel="0" collapsed="false">
      <c r="A12" s="11" t="s">
        <v>50</v>
      </c>
      <c r="B12" s="12"/>
      <c r="C12" s="12"/>
      <c r="D12" s="12"/>
      <c r="E12" s="12"/>
    </row>
    <row r="13" customFormat="false" ht="15" hidden="false" customHeight="false" outlineLevel="0" collapsed="false">
      <c r="A13" s="13" t="s">
        <v>51</v>
      </c>
      <c r="B13" s="14" t="n">
        <v>1179060</v>
      </c>
      <c r="C13" s="14" t="n">
        <v>1293290</v>
      </c>
      <c r="D13" s="14" t="n">
        <v>1413026</v>
      </c>
    </row>
    <row r="14" customFormat="false" ht="15" hidden="false" customHeight="false" outlineLevel="0" collapsed="false">
      <c r="A14" s="13" t="s">
        <v>52</v>
      </c>
      <c r="B14" s="14" t="n">
        <v>719348</v>
      </c>
      <c r="C14" s="14" t="n">
        <v>813177</v>
      </c>
      <c r="D14" s="14" t="n">
        <v>885982</v>
      </c>
    </row>
    <row r="15" customFormat="false" ht="15" hidden="false" customHeight="false" outlineLevel="0" collapsed="false">
      <c r="A15" s="13" t="s">
        <v>53</v>
      </c>
      <c r="B15" s="14" t="n">
        <v>189369</v>
      </c>
      <c r="C15" s="14" t="n">
        <v>230352</v>
      </c>
      <c r="D15" s="14" t="n">
        <v>281504</v>
      </c>
    </row>
    <row r="16" customFormat="false" ht="15" hidden="false" customHeight="false" outlineLevel="0" collapsed="false">
      <c r="A16" s="13" t="s">
        <v>54</v>
      </c>
      <c r="B16" s="14" t="n">
        <v>120111</v>
      </c>
      <c r="C16" s="14" t="n">
        <v>131836</v>
      </c>
      <c r="D16" s="14" t="n">
        <v>141806</v>
      </c>
    </row>
    <row r="17" customFormat="false" ht="15" hidden="false" customHeight="false" outlineLevel="0" collapsed="false">
      <c r="A17" s="3" t="s">
        <v>55</v>
      </c>
      <c r="B17" s="15" t="n">
        <f aca="false">SUM(B13:B16)</f>
        <v>2207888</v>
      </c>
      <c r="C17" s="15" t="n">
        <f aca="false">SUM(C13:C16)</f>
        <v>2468655</v>
      </c>
      <c r="D17" s="15" t="n">
        <f aca="false">SUM(D13:D16)</f>
        <v>2722318</v>
      </c>
    </row>
    <row r="19" customFormat="false" ht="15" hidden="false" customHeight="false" outlineLevel="0" collapsed="false">
      <c r="A19" s="3" t="s">
        <v>56</v>
      </c>
      <c r="B19" s="15" t="n">
        <f aca="false">B10-B17</f>
        <v>1227710</v>
      </c>
      <c r="C19" s="15" t="n">
        <f aca="false">C10-C17</f>
        <v>1366692</v>
      </c>
      <c r="D19" s="15" t="n">
        <f aca="false">D10-D17</f>
        <v>1470737</v>
      </c>
    </row>
    <row r="20" customFormat="false" ht="15" hidden="false" customHeight="false" outlineLevel="0" collapsed="false">
      <c r="A20" s="13" t="s">
        <v>57</v>
      </c>
      <c r="B20" s="16" t="n">
        <f aca="false">IF(B10=0,0,B19/B10)</f>
        <v>0.357349724851394</v>
      </c>
      <c r="C20" s="16" t="n">
        <f aca="false">IF(C10=0,0,C19/C10)</f>
        <v>0.35634116026529</v>
      </c>
      <c r="D20" s="16" t="n">
        <f aca="false">IF(D10=0,0,D19/D10)</f>
        <v>0.350755475423051</v>
      </c>
    </row>
    <row r="22" customFormat="false" ht="15" hidden="false" customHeight="false" outlineLevel="0" collapsed="false">
      <c r="A22" s="11" t="s">
        <v>58</v>
      </c>
      <c r="B22" s="12"/>
      <c r="C22" s="12"/>
      <c r="D22" s="12"/>
      <c r="E22" s="12"/>
    </row>
    <row r="23" customFormat="false" ht="15" hidden="false" customHeight="false" outlineLevel="0" collapsed="false">
      <c r="A23" s="13" t="s">
        <v>59</v>
      </c>
      <c r="B23" s="14" t="n">
        <v>179021</v>
      </c>
      <c r="C23" s="14" t="n">
        <v>180774</v>
      </c>
      <c r="D23" s="14" t="n">
        <v>179546</v>
      </c>
      <c r="E23" s="2" t="s">
        <v>60</v>
      </c>
    </row>
    <row r="24" customFormat="false" ht="15" hidden="false" customHeight="false" outlineLevel="0" collapsed="false">
      <c r="A24" s="13" t="s">
        <v>61</v>
      </c>
      <c r="B24" s="14" t="n">
        <v>64723</v>
      </c>
      <c r="C24" s="14" t="n">
        <v>67688</v>
      </c>
      <c r="D24" s="14" t="n">
        <v>69839</v>
      </c>
      <c r="E24" s="2" t="s">
        <v>62</v>
      </c>
    </row>
    <row r="25" customFormat="false" ht="15" hidden="false" customHeight="false" outlineLevel="0" collapsed="false">
      <c r="A25" s="13" t="s">
        <v>63</v>
      </c>
      <c r="B25" s="14" t="n">
        <v>210797</v>
      </c>
      <c r="C25" s="14" t="n">
        <v>224138</v>
      </c>
      <c r="D25" s="14" t="n">
        <v>240235</v>
      </c>
    </row>
    <row r="26" customFormat="false" ht="15" hidden="false" customHeight="false" outlineLevel="0" collapsed="false">
      <c r="A26" s="13" t="s">
        <v>64</v>
      </c>
      <c r="B26" s="14" t="n">
        <v>96160</v>
      </c>
      <c r="C26" s="14" t="n">
        <v>95853</v>
      </c>
      <c r="D26" s="14" t="n">
        <v>96055</v>
      </c>
      <c r="E26" s="2" t="s">
        <v>65</v>
      </c>
    </row>
    <row r="27" customFormat="false" ht="15" hidden="false" customHeight="false" outlineLevel="0" collapsed="false">
      <c r="A27" s="13" t="s">
        <v>66</v>
      </c>
      <c r="B27" s="14" t="n">
        <v>37801</v>
      </c>
      <c r="C27" s="14" t="n">
        <v>44762</v>
      </c>
      <c r="D27" s="14" t="n">
        <v>51817</v>
      </c>
    </row>
    <row r="28" customFormat="false" ht="15" hidden="false" customHeight="false" outlineLevel="0" collapsed="false">
      <c r="A28" s="13" t="s">
        <v>67</v>
      </c>
      <c r="B28" s="14" t="n">
        <v>41089</v>
      </c>
      <c r="C28" s="14" t="n">
        <v>45960</v>
      </c>
      <c r="D28" s="14" t="n">
        <v>49888</v>
      </c>
    </row>
    <row r="29" customFormat="false" ht="15" hidden="false" customHeight="false" outlineLevel="0" collapsed="false">
      <c r="A29" s="13" t="s">
        <v>68</v>
      </c>
      <c r="B29" s="14" t="n">
        <v>22023</v>
      </c>
      <c r="C29" s="14" t="n">
        <v>25985</v>
      </c>
      <c r="D29" s="14" t="n">
        <v>30926</v>
      </c>
    </row>
    <row r="30" customFormat="false" ht="15" hidden="false" customHeight="false" outlineLevel="0" collapsed="false">
      <c r="A30" s="13" t="s">
        <v>69</v>
      </c>
      <c r="B30" s="14" t="n">
        <v>28099</v>
      </c>
      <c r="C30" s="14" t="n">
        <v>30072</v>
      </c>
      <c r="D30" s="14" t="n">
        <v>61810</v>
      </c>
      <c r="E30" s="2" t="s">
        <v>70</v>
      </c>
    </row>
    <row r="31" customFormat="false" ht="15" hidden="false" customHeight="false" outlineLevel="0" collapsed="false">
      <c r="A31" s="13" t="s">
        <v>71</v>
      </c>
      <c r="B31" s="14" t="n">
        <v>34030</v>
      </c>
      <c r="C31" s="14" t="n">
        <v>36011</v>
      </c>
      <c r="D31" s="14" t="n">
        <v>38171</v>
      </c>
    </row>
    <row r="32" customFormat="false" ht="15" hidden="false" customHeight="false" outlineLevel="0" collapsed="false">
      <c r="A32" s="13" t="s">
        <v>72</v>
      </c>
      <c r="B32" s="14" t="n">
        <v>19052</v>
      </c>
      <c r="C32" s="14" t="n">
        <v>19949</v>
      </c>
      <c r="D32" s="14" t="n">
        <v>21121</v>
      </c>
    </row>
    <row r="33" customFormat="false" ht="15" hidden="false" customHeight="false" outlineLevel="0" collapsed="false">
      <c r="A33" s="13" t="s">
        <v>73</v>
      </c>
      <c r="B33" s="14" t="n">
        <v>11945</v>
      </c>
      <c r="C33" s="14" t="n">
        <v>13986</v>
      </c>
      <c r="D33" s="14" t="n">
        <v>15046</v>
      </c>
    </row>
    <row r="34" customFormat="false" ht="15" hidden="false" customHeight="false" outlineLevel="0" collapsed="false">
      <c r="A34" s="13" t="s">
        <v>74</v>
      </c>
      <c r="B34" s="14" t="n">
        <v>5975</v>
      </c>
      <c r="C34" s="14" t="n">
        <v>8999</v>
      </c>
      <c r="D34" s="14" t="n">
        <v>27845</v>
      </c>
    </row>
    <row r="35" customFormat="false" ht="15" hidden="false" customHeight="false" outlineLevel="0" collapsed="false">
      <c r="A35" s="13" t="s">
        <v>75</v>
      </c>
      <c r="B35" s="14" t="n">
        <v>25050</v>
      </c>
      <c r="C35" s="14" t="n">
        <v>27086</v>
      </c>
      <c r="D35" s="14" t="n">
        <v>29025</v>
      </c>
    </row>
    <row r="36" customFormat="false" ht="15" hidden="false" customHeight="false" outlineLevel="0" collapsed="false">
      <c r="A36" s="3" t="s">
        <v>76</v>
      </c>
      <c r="B36" s="15" t="n">
        <f aca="false">SUM(B23:B35)</f>
        <v>775765</v>
      </c>
      <c r="C36" s="15" t="n">
        <f aca="false">SUM(C23:C35)</f>
        <v>821263</v>
      </c>
      <c r="D36" s="15" t="n">
        <f aca="false">SUM(D23:D35)</f>
        <v>911324</v>
      </c>
    </row>
    <row r="38" customFormat="false" ht="15" hidden="false" customHeight="false" outlineLevel="0" collapsed="false">
      <c r="A38" s="7" t="s">
        <v>77</v>
      </c>
      <c r="B38" s="17" t="n">
        <f aca="false">B19-B36</f>
        <v>451945</v>
      </c>
      <c r="C38" s="17" t="n">
        <f aca="false">C19-C36</f>
        <v>545429</v>
      </c>
      <c r="D38" s="17" t="n">
        <f aca="false">D19-D36</f>
        <v>559413</v>
      </c>
    </row>
    <row r="39" customFormat="false" ht="15" hidden="false" customHeight="false" outlineLevel="0" collapsed="false">
      <c r="A39" s="13" t="s">
        <v>78</v>
      </c>
      <c r="B39" s="16" t="n">
        <f aca="false">IF(B10=0,0,B38/B10)</f>
        <v>0.131547695626788</v>
      </c>
      <c r="C39" s="16" t="n">
        <f aca="false">IF(C10=0,0,C38/C10)</f>
        <v>0.142211121966278</v>
      </c>
      <c r="D39" s="16" t="n">
        <f aca="false">IF(D10=0,0,D38/D10)</f>
        <v>0.133414181306947</v>
      </c>
    </row>
    <row r="40" customFormat="false" ht="15" hidden="false" customHeight="false" outlineLevel="0" collapsed="false">
      <c r="A40" s="13" t="s">
        <v>79</v>
      </c>
      <c r="B40" s="14" t="n">
        <v>58261</v>
      </c>
      <c r="C40" s="14" t="n">
        <v>65852</v>
      </c>
      <c r="D40" s="14" t="n">
        <v>74173</v>
      </c>
    </row>
    <row r="41" customFormat="false" ht="15" hidden="false" customHeight="false" outlineLevel="0" collapsed="false">
      <c r="A41" s="3" t="s">
        <v>80</v>
      </c>
      <c r="B41" s="15" t="n">
        <f aca="false">B38-B40</f>
        <v>393684</v>
      </c>
      <c r="C41" s="15" t="n">
        <f aca="false">C38-C40</f>
        <v>479577</v>
      </c>
      <c r="D41" s="15" t="n">
        <f aca="false">D38-D40</f>
        <v>485240</v>
      </c>
    </row>
    <row r="42" customFormat="false" ht="15" hidden="false" customHeight="false" outlineLevel="0" collapsed="false">
      <c r="A42" s="13" t="s">
        <v>81</v>
      </c>
      <c r="B42" s="14" t="n">
        <v>14016</v>
      </c>
      <c r="C42" s="14" t="n">
        <v>17016</v>
      </c>
      <c r="D42" s="14" t="n">
        <v>18990</v>
      </c>
    </row>
    <row r="43" customFormat="false" ht="15" hidden="false" customHeight="false" outlineLevel="0" collapsed="false">
      <c r="A43" s="3" t="s">
        <v>82</v>
      </c>
      <c r="B43" s="15" t="n">
        <f aca="false">B41-B42</f>
        <v>379668</v>
      </c>
      <c r="C43" s="15" t="n">
        <f aca="false">C41-C42</f>
        <v>462561</v>
      </c>
      <c r="D43" s="15" t="n">
        <f aca="false">D41-D42</f>
        <v>466250</v>
      </c>
    </row>
    <row r="44" customFormat="false" ht="15" hidden="false" customHeight="false" outlineLevel="0" collapsed="false">
      <c r="A44" s="13" t="s">
        <v>83</v>
      </c>
      <c r="B44" s="18" t="n">
        <v>0.25</v>
      </c>
      <c r="C44" s="2" t="s">
        <v>84</v>
      </c>
    </row>
    <row r="45" customFormat="false" ht="15" hidden="false" customHeight="false" outlineLevel="0" collapsed="false">
      <c r="A45" s="13" t="s">
        <v>85</v>
      </c>
      <c r="B45" s="19" t="n">
        <f aca="false">ROUND(B43*$B$44,0)</f>
        <v>94917</v>
      </c>
      <c r="C45" s="19" t="n">
        <f aca="false">ROUND(C43*$B$44,0)</f>
        <v>115640</v>
      </c>
      <c r="D45" s="19" t="n">
        <f aca="false">ROUND(D43*$B$44,0)</f>
        <v>116563</v>
      </c>
    </row>
    <row r="46" customFormat="false" ht="15" hidden="false" customHeight="false" outlineLevel="0" collapsed="false">
      <c r="A46" s="3" t="s">
        <v>86</v>
      </c>
      <c r="B46" s="20" t="n">
        <f aca="false">B43-B45</f>
        <v>284751</v>
      </c>
      <c r="C46" s="20" t="n">
        <f aca="false">C43-C45</f>
        <v>346921</v>
      </c>
      <c r="D46" s="20" t="n">
        <f aca="false">D43-D45</f>
        <v>349687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87</v>
      </c>
    </row>
    <row r="3" customFormat="false" ht="15" hidden="false" customHeight="false" outlineLevel="0" collapsed="false">
      <c r="A3" s="2" t="s">
        <v>37</v>
      </c>
    </row>
    <row r="5" customFormat="false" ht="15" hidden="false" customHeight="false" outlineLevel="0" collapsed="false">
      <c r="A5" s="9" t="s">
        <v>38</v>
      </c>
      <c r="B5" s="10" t="s">
        <v>88</v>
      </c>
      <c r="C5" s="10" t="s">
        <v>39</v>
      </c>
      <c r="D5" s="10" t="s">
        <v>40</v>
      </c>
      <c r="E5" s="10" t="s">
        <v>41</v>
      </c>
    </row>
    <row r="6" customFormat="false" ht="15" hidden="false" customHeight="false" outlineLevel="0" collapsed="false">
      <c r="A6" s="11" t="s">
        <v>89</v>
      </c>
      <c r="B6" s="12"/>
      <c r="C6" s="12"/>
      <c r="D6" s="12"/>
      <c r="E6" s="12"/>
      <c r="F6" s="12"/>
    </row>
    <row r="7" customFormat="false" ht="15" hidden="false" customHeight="false" outlineLevel="0" collapsed="false">
      <c r="A7" s="13" t="s">
        <v>90</v>
      </c>
      <c r="B7" s="19" t="n">
        <f aca="false">B38+B45-(B8+B9+B10+B11+B12+B18)</f>
        <v>76631</v>
      </c>
      <c r="C7" s="19" t="n">
        <f aca="false">C38+C45-(C8+C9+C10+C11+C12+C18)</f>
        <v>126307</v>
      </c>
      <c r="D7" s="19" t="n">
        <f aca="false">D38+D45-(D8+D9+D10+D11+D12+D18)</f>
        <v>143808</v>
      </c>
      <c r="E7" s="19" t="n">
        <f aca="false">E38+E45-(E8+E9+E10+E11+E12+E18)</f>
        <v>132827</v>
      </c>
      <c r="F7" s="2" t="s">
        <v>91</v>
      </c>
    </row>
    <row r="8" customFormat="false" ht="15" hidden="false" customHeight="false" outlineLevel="0" collapsed="false">
      <c r="A8" s="13" t="s">
        <v>92</v>
      </c>
      <c r="B8" s="14" t="n">
        <v>522121</v>
      </c>
      <c r="C8" s="21" t="n">
        <f aca="false">ROUND('P&amp;L'!B10*C51/365,0)</f>
        <v>545931</v>
      </c>
      <c r="D8" s="21" t="n">
        <f aca="false">ROUND('P&amp;L'!C10*D51/365,0)</f>
        <v>651484</v>
      </c>
      <c r="E8" s="21" t="n">
        <f aca="false">ROUND('P&amp;L'!D10*E51/365,0)</f>
        <v>769684</v>
      </c>
      <c r="F8" s="2" t="s">
        <v>93</v>
      </c>
    </row>
    <row r="9" customFormat="false" ht="15" hidden="false" customHeight="false" outlineLevel="0" collapsed="false">
      <c r="A9" s="13" t="s">
        <v>94</v>
      </c>
      <c r="B9" s="14" t="n">
        <v>41219</v>
      </c>
      <c r="C9" s="14" t="n">
        <v>47985</v>
      </c>
      <c r="D9" s="14" t="n">
        <v>62122</v>
      </c>
      <c r="E9" s="14" t="n">
        <v>84552</v>
      </c>
    </row>
    <row r="10" customFormat="false" ht="15" hidden="false" customHeight="false" outlineLevel="0" collapsed="false">
      <c r="A10" s="13" t="s">
        <v>95</v>
      </c>
      <c r="B10" s="14" t="n">
        <v>57138</v>
      </c>
      <c r="C10" s="14" t="n">
        <v>62109</v>
      </c>
      <c r="D10" s="14" t="n">
        <v>68402</v>
      </c>
      <c r="E10" s="14" t="n">
        <v>74286</v>
      </c>
    </row>
    <row r="11" customFormat="false" ht="15" hidden="false" customHeight="false" outlineLevel="0" collapsed="false">
      <c r="A11" s="13" t="s">
        <v>96</v>
      </c>
      <c r="B11" s="14" t="n">
        <v>15959</v>
      </c>
      <c r="C11" s="14" t="n">
        <v>17975</v>
      </c>
      <c r="D11" s="14" t="n">
        <v>20040</v>
      </c>
      <c r="E11" s="14" t="n">
        <v>21874</v>
      </c>
    </row>
    <row r="12" customFormat="false" ht="15" hidden="false" customHeight="false" outlineLevel="0" collapsed="false">
      <c r="A12" s="13" t="s">
        <v>97</v>
      </c>
      <c r="B12" s="14" t="n">
        <v>59972</v>
      </c>
      <c r="C12" s="14" t="n">
        <v>84661</v>
      </c>
      <c r="D12" s="14" t="n">
        <v>109495</v>
      </c>
      <c r="E12" s="14" t="n">
        <v>139259</v>
      </c>
      <c r="F12" s="2" t="s">
        <v>98</v>
      </c>
    </row>
    <row r="13" customFormat="false" ht="15" hidden="false" customHeight="false" outlineLevel="0" collapsed="false">
      <c r="A13" s="3" t="s">
        <v>99</v>
      </c>
      <c r="B13" s="15" t="n">
        <f aca="false">SUM(B7:B12)</f>
        <v>773040</v>
      </c>
      <c r="C13" s="15" t="n">
        <f aca="false">SUM(C7:C12)</f>
        <v>884968</v>
      </c>
      <c r="D13" s="15" t="n">
        <f aca="false">SUM(D7:D12)</f>
        <v>1055351</v>
      </c>
      <c r="E13" s="15" t="n">
        <f aca="false">SUM(E7:E12)</f>
        <v>1222482</v>
      </c>
    </row>
    <row r="15" customFormat="false" ht="15" hidden="false" customHeight="false" outlineLevel="0" collapsed="false">
      <c r="A15" s="11" t="s">
        <v>100</v>
      </c>
      <c r="B15" s="12"/>
      <c r="C15" s="12"/>
      <c r="D15" s="12"/>
      <c r="E15" s="12"/>
      <c r="F15" s="12"/>
    </row>
    <row r="16" customFormat="false" ht="15" hidden="false" customHeight="false" outlineLevel="0" collapsed="false">
      <c r="A16" s="13" t="s">
        <v>101</v>
      </c>
      <c r="B16" s="14" t="n">
        <v>461481</v>
      </c>
      <c r="C16" s="19" t="n">
        <f aca="false">B16+C53</f>
        <v>521578</v>
      </c>
      <c r="D16" s="19" t="n">
        <f aca="false">C16+D53</f>
        <v>601158</v>
      </c>
      <c r="E16" s="19" t="n">
        <f aca="false">D16+E53</f>
        <v>690691</v>
      </c>
    </row>
    <row r="17" customFormat="false" ht="15" hidden="false" customHeight="false" outlineLevel="0" collapsed="false">
      <c r="A17" s="13" t="s">
        <v>102</v>
      </c>
      <c r="B17" s="14" t="n">
        <v>-151324</v>
      </c>
      <c r="C17" s="21" t="n">
        <f aca="false">B17-'P&amp;L'!B40</f>
        <v>-209585</v>
      </c>
      <c r="D17" s="21" t="n">
        <f aca="false">C17-'P&amp;L'!C40</f>
        <v>-275437</v>
      </c>
      <c r="E17" s="21" t="n">
        <f aca="false">D17-'P&amp;L'!D40</f>
        <v>-349610</v>
      </c>
    </row>
    <row r="18" customFormat="false" ht="15" hidden="false" customHeight="false" outlineLevel="0" collapsed="false">
      <c r="A18" s="3" t="s">
        <v>103</v>
      </c>
      <c r="B18" s="15" t="n">
        <f aca="false">B16+B17</f>
        <v>310157</v>
      </c>
      <c r="C18" s="15" t="n">
        <f aca="false">C16+C17</f>
        <v>311993</v>
      </c>
      <c r="D18" s="15" t="n">
        <f aca="false">D16+D17</f>
        <v>325721</v>
      </c>
      <c r="E18" s="15" t="n">
        <f aca="false">E16+E17</f>
        <v>341081</v>
      </c>
    </row>
    <row r="20" customFormat="false" ht="15" hidden="false" customHeight="false" outlineLevel="0" collapsed="false">
      <c r="A20" s="3" t="s">
        <v>104</v>
      </c>
      <c r="B20" s="20" t="n">
        <f aca="false">B13+B18</f>
        <v>1083197</v>
      </c>
      <c r="C20" s="20" t="n">
        <f aca="false">C13+C18</f>
        <v>1196961</v>
      </c>
      <c r="D20" s="20" t="n">
        <f aca="false">D13+D18</f>
        <v>1381072</v>
      </c>
      <c r="E20" s="20" t="n">
        <f aca="false">E13+E18</f>
        <v>1563563</v>
      </c>
    </row>
    <row r="22" customFormat="false" ht="15" hidden="false" customHeight="false" outlineLevel="0" collapsed="false">
      <c r="A22" s="11" t="s">
        <v>105</v>
      </c>
      <c r="B22" s="12"/>
      <c r="C22" s="12"/>
      <c r="D22" s="12"/>
      <c r="E22" s="12"/>
      <c r="F22" s="12"/>
    </row>
    <row r="23" customFormat="false" ht="15" hidden="false" customHeight="false" outlineLevel="0" collapsed="false">
      <c r="A23" s="13" t="s">
        <v>106</v>
      </c>
      <c r="B23" s="14" t="n">
        <v>97703</v>
      </c>
      <c r="C23" s="21" t="n">
        <f aca="false">ROUND(('P&amp;L'!B14+'P&amp;L'!B15)*C52/365,0)</f>
        <v>94606</v>
      </c>
      <c r="D23" s="21" t="n">
        <f aca="false">ROUND(('P&amp;L'!C14+'P&amp;L'!C15)*D52/365,0)</f>
        <v>114359</v>
      </c>
      <c r="E23" s="21" t="n">
        <f aca="false">ROUND(('P&amp;L'!D14+'P&amp;L'!D15)*E52/365,0)</f>
        <v>115149</v>
      </c>
      <c r="F23" s="2" t="s">
        <v>107</v>
      </c>
    </row>
    <row r="24" customFormat="false" ht="15" hidden="false" customHeight="false" outlineLevel="0" collapsed="false">
      <c r="A24" s="13" t="s">
        <v>108</v>
      </c>
      <c r="B24" s="14" t="n">
        <v>38949</v>
      </c>
      <c r="C24" s="14" t="n">
        <v>42187</v>
      </c>
      <c r="D24" s="14" t="n">
        <v>45768</v>
      </c>
      <c r="E24" s="14" t="n">
        <v>50969</v>
      </c>
    </row>
    <row r="25" customFormat="false" ht="15" hidden="false" customHeight="false" outlineLevel="0" collapsed="false">
      <c r="A25" s="13" t="s">
        <v>109</v>
      </c>
      <c r="B25" s="14" t="n">
        <v>52031</v>
      </c>
      <c r="C25" s="14" t="n">
        <v>58267</v>
      </c>
      <c r="D25" s="14" t="n">
        <v>64245</v>
      </c>
      <c r="E25" s="14" t="n">
        <v>71310</v>
      </c>
    </row>
    <row r="26" customFormat="false" ht="15" hidden="false" customHeight="false" outlineLevel="0" collapsed="false">
      <c r="A26" s="13" t="s">
        <v>110</v>
      </c>
      <c r="B26" s="14" t="n">
        <v>42886</v>
      </c>
      <c r="C26" s="14" t="n">
        <v>46952</v>
      </c>
      <c r="D26" s="14" t="n">
        <v>51912</v>
      </c>
      <c r="E26" s="14" t="n">
        <v>57263</v>
      </c>
    </row>
    <row r="27" customFormat="false" ht="15" hidden="false" customHeight="false" outlineLevel="0" collapsed="false">
      <c r="A27" s="13" t="s">
        <v>111</v>
      </c>
      <c r="B27" s="14" t="n">
        <v>88483</v>
      </c>
      <c r="C27" s="14" t="n">
        <v>95598</v>
      </c>
      <c r="D27" s="14" t="n">
        <v>107580</v>
      </c>
      <c r="E27" s="14" t="n">
        <v>120611</v>
      </c>
      <c r="F27" s="2" t="s">
        <v>112</v>
      </c>
    </row>
    <row r="28" customFormat="false" ht="15" hidden="false" customHeight="false" outlineLevel="0" collapsed="false">
      <c r="A28" s="13" t="s">
        <v>113</v>
      </c>
      <c r="B28" s="14" t="n">
        <v>28907</v>
      </c>
      <c r="C28" s="14" t="n">
        <v>33994</v>
      </c>
      <c r="D28" s="14" t="n">
        <v>40043</v>
      </c>
      <c r="E28" s="14" t="n">
        <v>47863</v>
      </c>
    </row>
    <row r="29" customFormat="false" ht="15" hidden="false" customHeight="false" outlineLevel="0" collapsed="false">
      <c r="A29" s="13" t="s">
        <v>114</v>
      </c>
      <c r="B29" s="14" t="n">
        <v>26839</v>
      </c>
      <c r="C29" s="14" t="n">
        <v>29971</v>
      </c>
      <c r="D29" s="14" t="n">
        <v>37940</v>
      </c>
      <c r="E29" s="14" t="n">
        <v>41033</v>
      </c>
    </row>
    <row r="30" customFormat="false" ht="15" hidden="false" customHeight="false" outlineLevel="0" collapsed="false">
      <c r="A30" s="13" t="s">
        <v>115</v>
      </c>
      <c r="B30" s="14" t="n">
        <v>38207</v>
      </c>
      <c r="C30" s="14" t="n">
        <v>42096</v>
      </c>
      <c r="D30" s="14" t="n">
        <v>48009</v>
      </c>
      <c r="E30" s="14" t="n">
        <v>55078</v>
      </c>
    </row>
    <row r="31" customFormat="false" ht="15" hidden="false" customHeight="false" outlineLevel="0" collapsed="false">
      <c r="A31" s="3" t="s">
        <v>116</v>
      </c>
      <c r="B31" s="15" t="n">
        <f aca="false">SUM(B23:B30)</f>
        <v>414005</v>
      </c>
      <c r="C31" s="15" t="n">
        <f aca="false">SUM(C23:C30)</f>
        <v>443671</v>
      </c>
      <c r="D31" s="15" t="n">
        <f aca="false">SUM(D23:D30)</f>
        <v>509856</v>
      </c>
      <c r="E31" s="15" t="n">
        <f aca="false">SUM(E23:E30)</f>
        <v>559276</v>
      </c>
    </row>
    <row r="33" customFormat="false" ht="15" hidden="false" customHeight="false" outlineLevel="0" collapsed="false">
      <c r="A33" s="11" t="s">
        <v>117</v>
      </c>
      <c r="B33" s="12"/>
      <c r="C33" s="12"/>
      <c r="D33" s="12"/>
      <c r="E33" s="12"/>
      <c r="F33" s="12"/>
    </row>
    <row r="34" customFormat="false" ht="15" hidden="false" customHeight="false" outlineLevel="0" collapsed="false">
      <c r="A34" s="13" t="s">
        <v>118</v>
      </c>
      <c r="B34" s="14" t="n">
        <v>47099</v>
      </c>
      <c r="C34" s="14" t="n">
        <v>51722</v>
      </c>
      <c r="D34" s="14" t="n">
        <v>58278</v>
      </c>
      <c r="E34" s="14" t="n">
        <v>63212</v>
      </c>
    </row>
    <row r="35" customFormat="false" ht="15" hidden="false" customHeight="false" outlineLevel="0" collapsed="false">
      <c r="A35" s="13" t="s">
        <v>119</v>
      </c>
      <c r="B35" s="14" t="n">
        <v>104467</v>
      </c>
      <c r="C35" s="14" t="n">
        <v>118422</v>
      </c>
      <c r="D35" s="14" t="n">
        <v>141817</v>
      </c>
      <c r="E35" s="14" t="n">
        <v>159806</v>
      </c>
    </row>
    <row r="36" customFormat="false" ht="15" hidden="false" customHeight="false" outlineLevel="0" collapsed="false">
      <c r="A36" s="3" t="s">
        <v>120</v>
      </c>
      <c r="B36" s="15" t="n">
        <f aca="false">SUM(B34:B35)</f>
        <v>151566</v>
      </c>
      <c r="C36" s="15" t="n">
        <f aca="false">SUM(C34:C35)</f>
        <v>170144</v>
      </c>
      <c r="D36" s="15" t="n">
        <f aca="false">SUM(D34:D35)</f>
        <v>200095</v>
      </c>
      <c r="E36" s="15" t="n">
        <f aca="false">SUM(E34:E35)</f>
        <v>223018</v>
      </c>
    </row>
    <row r="38" customFormat="false" ht="15" hidden="false" customHeight="false" outlineLevel="0" collapsed="false">
      <c r="A38" s="3" t="s">
        <v>121</v>
      </c>
      <c r="B38" s="15" t="n">
        <f aca="false">B31+B36</f>
        <v>565571</v>
      </c>
      <c r="C38" s="15" t="n">
        <f aca="false">C31+C36</f>
        <v>613815</v>
      </c>
      <c r="D38" s="15" t="n">
        <f aca="false">D31+D36</f>
        <v>709951</v>
      </c>
      <c r="E38" s="15" t="n">
        <f aca="false">E31+E36</f>
        <v>782294</v>
      </c>
    </row>
    <row r="40" customFormat="false" ht="15" hidden="false" customHeight="false" outlineLevel="0" collapsed="false">
      <c r="A40" s="3" t="s">
        <v>122</v>
      </c>
      <c r="B40" s="20" t="n">
        <f aca="false">B20-B38</f>
        <v>517626</v>
      </c>
      <c r="C40" s="20" t="n">
        <f aca="false">C20-C38</f>
        <v>583146</v>
      </c>
      <c r="D40" s="20" t="n">
        <f aca="false">D20-D38</f>
        <v>671121</v>
      </c>
      <c r="E40" s="20" t="n">
        <f aca="false">E20-E38</f>
        <v>781269</v>
      </c>
    </row>
    <row r="42" customFormat="false" ht="15" hidden="false" customHeight="false" outlineLevel="0" collapsed="false">
      <c r="A42" s="11" t="s">
        <v>123</v>
      </c>
      <c r="B42" s="12"/>
      <c r="C42" s="12"/>
      <c r="D42" s="12"/>
      <c r="E42" s="12"/>
      <c r="F42" s="12"/>
    </row>
    <row r="43" customFormat="false" ht="15" hidden="false" customHeight="false" outlineLevel="0" collapsed="false">
      <c r="A43" s="13" t="s">
        <v>124</v>
      </c>
      <c r="B43" s="14" t="n">
        <v>100</v>
      </c>
      <c r="C43" s="14" t="n">
        <v>100</v>
      </c>
      <c r="D43" s="14" t="n">
        <v>100</v>
      </c>
      <c r="E43" s="14" t="n">
        <v>100</v>
      </c>
      <c r="F43" s="2" t="s">
        <v>125</v>
      </c>
    </row>
    <row r="44" customFormat="false" ht="15" hidden="false" customHeight="false" outlineLevel="0" collapsed="false">
      <c r="A44" s="13" t="s">
        <v>126</v>
      </c>
      <c r="B44" s="14" t="n">
        <v>517526</v>
      </c>
      <c r="C44" s="21" t="n">
        <f aca="false">B44+'P&amp;L'!B46-C54</f>
        <v>583046</v>
      </c>
      <c r="D44" s="21" t="n">
        <f aca="false">C44+'P&amp;L'!C46-D54</f>
        <v>671021</v>
      </c>
      <c r="E44" s="21" t="n">
        <f aca="false">D44+'P&amp;L'!D46-E54</f>
        <v>781169</v>
      </c>
    </row>
    <row r="45" customFormat="false" ht="15" hidden="false" customHeight="false" outlineLevel="0" collapsed="false">
      <c r="A45" s="3" t="s">
        <v>127</v>
      </c>
      <c r="B45" s="20" t="n">
        <f aca="false">B43+B44</f>
        <v>517626</v>
      </c>
      <c r="C45" s="20" t="n">
        <f aca="false">C43+C44</f>
        <v>583146</v>
      </c>
      <c r="D45" s="20" t="n">
        <f aca="false">D43+D44</f>
        <v>671121</v>
      </c>
      <c r="E45" s="20" t="n">
        <f aca="false">E43+E44</f>
        <v>781269</v>
      </c>
    </row>
    <row r="47" customFormat="false" ht="15" hidden="false" customHeight="false" outlineLevel="0" collapsed="false">
      <c r="A47" s="22" t="s">
        <v>128</v>
      </c>
      <c r="B47" s="23" t="n">
        <f aca="false">ROUND(B40-B45,0)</f>
        <v>0</v>
      </c>
      <c r="C47" s="23" t="n">
        <f aca="false">ROUND(C40-C45,0)</f>
        <v>0</v>
      </c>
      <c r="D47" s="23" t="n">
        <f aca="false">ROUND(D40-D45,0)</f>
        <v>0</v>
      </c>
      <c r="E47" s="23" t="n">
        <f aca="false">ROUND(E40-E45,0)</f>
        <v>0</v>
      </c>
    </row>
    <row r="50" customFormat="false" ht="15" hidden="false" customHeight="false" outlineLevel="0" collapsed="false">
      <c r="A50" s="11" t="s">
        <v>129</v>
      </c>
      <c r="B50" s="12"/>
      <c r="C50" s="12"/>
      <c r="D50" s="12"/>
      <c r="E50" s="12"/>
      <c r="F50" s="12"/>
    </row>
    <row r="51" customFormat="false" ht="15" hidden="false" customHeight="false" outlineLevel="0" collapsed="false">
      <c r="A51" s="24" t="s">
        <v>130</v>
      </c>
      <c r="B51" s="25"/>
      <c r="C51" s="25" t="n">
        <v>58</v>
      </c>
      <c r="D51" s="25" t="n">
        <v>62</v>
      </c>
      <c r="E51" s="25" t="n">
        <v>67</v>
      </c>
    </row>
    <row r="52" customFormat="false" ht="15" hidden="false" customHeight="false" outlineLevel="0" collapsed="false">
      <c r="A52" s="24" t="s">
        <v>131</v>
      </c>
      <c r="B52" s="25"/>
      <c r="C52" s="25" t="n">
        <v>38</v>
      </c>
      <c r="D52" s="25" t="n">
        <v>40</v>
      </c>
      <c r="E52" s="25" t="n">
        <v>36</v>
      </c>
    </row>
    <row r="53" customFormat="false" ht="15" hidden="false" customHeight="false" outlineLevel="0" collapsed="false">
      <c r="A53" s="13" t="s">
        <v>132</v>
      </c>
      <c r="B53" s="14"/>
      <c r="C53" s="14" t="n">
        <v>60097</v>
      </c>
      <c r="D53" s="14" t="n">
        <v>79580</v>
      </c>
      <c r="E53" s="14" t="n">
        <v>89533</v>
      </c>
    </row>
    <row r="54" customFormat="false" ht="15" hidden="false" customHeight="false" outlineLevel="0" collapsed="false">
      <c r="A54" s="13" t="s">
        <v>133</v>
      </c>
      <c r="B54" s="14"/>
      <c r="C54" s="14" t="n">
        <v>219231</v>
      </c>
      <c r="D54" s="14" t="n">
        <v>258946</v>
      </c>
      <c r="E54" s="14" t="n">
        <v>239539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134</v>
      </c>
    </row>
    <row r="3" customFormat="false" ht="15" hidden="false" customHeight="false" outlineLevel="0" collapsed="false">
      <c r="A3" s="2" t="s">
        <v>37</v>
      </c>
    </row>
    <row r="5" customFormat="false" ht="15" hidden="false" customHeight="false" outlineLevel="0" collapsed="false">
      <c r="A5" s="9" t="s">
        <v>38</v>
      </c>
      <c r="B5" s="10" t="s">
        <v>39</v>
      </c>
      <c r="C5" s="10" t="s">
        <v>40</v>
      </c>
      <c r="D5" s="10" t="s">
        <v>41</v>
      </c>
    </row>
    <row r="6" customFormat="false" ht="15" hidden="false" customHeight="false" outlineLevel="0" collapsed="false">
      <c r="A6" s="11" t="s">
        <v>135</v>
      </c>
      <c r="B6" s="12"/>
      <c r="C6" s="12"/>
      <c r="D6" s="12"/>
      <c r="E6" s="12"/>
    </row>
    <row r="7" customFormat="false" ht="15" hidden="false" customHeight="false" outlineLevel="0" collapsed="false">
      <c r="A7" s="13" t="s">
        <v>86</v>
      </c>
      <c r="B7" s="21" t="n">
        <f aca="false">'P&amp;L'!B46</f>
        <v>284751</v>
      </c>
      <c r="C7" s="21" t="n">
        <f aca="false">'P&amp;L'!C46</f>
        <v>346921</v>
      </c>
      <c r="D7" s="21" t="n">
        <f aca="false">'P&amp;L'!D46</f>
        <v>349687</v>
      </c>
    </row>
    <row r="8" customFormat="false" ht="15" hidden="false" customHeight="false" outlineLevel="0" collapsed="false">
      <c r="A8" s="13" t="s">
        <v>136</v>
      </c>
      <c r="B8" s="21" t="n">
        <f aca="false">'P&amp;L'!B40</f>
        <v>58261</v>
      </c>
      <c r="C8" s="21" t="n">
        <f aca="false">'P&amp;L'!C40</f>
        <v>65852</v>
      </c>
      <c r="D8" s="21" t="n">
        <f aca="false">'P&amp;L'!D40</f>
        <v>74173</v>
      </c>
    </row>
    <row r="9" customFormat="false" ht="15" hidden="false" customHeight="false" outlineLevel="0" collapsed="false">
      <c r="A9" s="13" t="s">
        <v>137</v>
      </c>
      <c r="B9" s="21" t="n">
        <f aca="false">-('Balance Sheet'!C8-'Balance Sheet'!B8)</f>
        <v>-23810</v>
      </c>
      <c r="C9" s="21" t="n">
        <f aca="false">-('Balance Sheet'!D8-'Balance Sheet'!C8)</f>
        <v>-105553</v>
      </c>
      <c r="D9" s="21" t="n">
        <f aca="false">-('Balance Sheet'!E8-'Balance Sheet'!D8)</f>
        <v>-118200</v>
      </c>
    </row>
    <row r="10" customFormat="false" ht="15" hidden="false" customHeight="false" outlineLevel="0" collapsed="false">
      <c r="A10" s="13" t="s">
        <v>138</v>
      </c>
      <c r="B10" s="21" t="n">
        <f aca="false">-('Balance Sheet'!C9-'Balance Sheet'!B9)</f>
        <v>-6766</v>
      </c>
      <c r="C10" s="21" t="n">
        <f aca="false">-('Balance Sheet'!D9-'Balance Sheet'!C9)</f>
        <v>-14137</v>
      </c>
      <c r="D10" s="21" t="n">
        <f aca="false">-('Balance Sheet'!E9-'Balance Sheet'!D9)</f>
        <v>-22430</v>
      </c>
    </row>
    <row r="11" customFormat="false" ht="15" hidden="false" customHeight="false" outlineLevel="0" collapsed="false">
      <c r="A11" s="13" t="s">
        <v>139</v>
      </c>
      <c r="B11" s="21" t="n">
        <f aca="false">-('Balance Sheet'!C10-'Balance Sheet'!B10)</f>
        <v>-4971</v>
      </c>
      <c r="C11" s="21" t="n">
        <f aca="false">-('Balance Sheet'!D10-'Balance Sheet'!C10)</f>
        <v>-6293</v>
      </c>
      <c r="D11" s="21" t="n">
        <f aca="false">-('Balance Sheet'!E10-'Balance Sheet'!D10)</f>
        <v>-5884</v>
      </c>
    </row>
    <row r="12" customFormat="false" ht="15" hidden="false" customHeight="false" outlineLevel="0" collapsed="false">
      <c r="A12" s="13" t="s">
        <v>140</v>
      </c>
      <c r="B12" s="21" t="n">
        <f aca="false">-('Balance Sheet'!C11-'Balance Sheet'!B11)</f>
        <v>-2016</v>
      </c>
      <c r="C12" s="21" t="n">
        <f aca="false">-('Balance Sheet'!D11-'Balance Sheet'!C11)</f>
        <v>-2065</v>
      </c>
      <c r="D12" s="21" t="n">
        <f aca="false">-('Balance Sheet'!E11-'Balance Sheet'!D11)</f>
        <v>-1834</v>
      </c>
    </row>
    <row r="13" customFormat="false" ht="15" hidden="false" customHeight="false" outlineLevel="0" collapsed="false">
      <c r="A13" s="13" t="s">
        <v>141</v>
      </c>
      <c r="B13" s="21" t="n">
        <f aca="false">'Balance Sheet'!C23-'Balance Sheet'!B23</f>
        <v>-3097</v>
      </c>
      <c r="C13" s="21" t="n">
        <f aca="false">'Balance Sheet'!D23-'Balance Sheet'!C23</f>
        <v>19753</v>
      </c>
      <c r="D13" s="21" t="n">
        <f aca="false">'Balance Sheet'!E23-'Balance Sheet'!D23</f>
        <v>790</v>
      </c>
    </row>
    <row r="14" customFormat="false" ht="15" hidden="false" customHeight="false" outlineLevel="0" collapsed="false">
      <c r="A14" s="13" t="s">
        <v>142</v>
      </c>
      <c r="B14" s="21" t="n">
        <f aca="false">'Balance Sheet'!C24-'Balance Sheet'!B24</f>
        <v>3238</v>
      </c>
      <c r="C14" s="21" t="n">
        <f aca="false">'Balance Sheet'!D24-'Balance Sheet'!C24</f>
        <v>3581</v>
      </c>
      <c r="D14" s="21" t="n">
        <f aca="false">'Balance Sheet'!E24-'Balance Sheet'!D24</f>
        <v>5201</v>
      </c>
    </row>
    <row r="15" customFormat="false" ht="15" hidden="false" customHeight="false" outlineLevel="0" collapsed="false">
      <c r="A15" s="13" t="s">
        <v>143</v>
      </c>
      <c r="B15" s="21" t="n">
        <f aca="false">'Balance Sheet'!C25-'Balance Sheet'!B25</f>
        <v>6236</v>
      </c>
      <c r="C15" s="21" t="n">
        <f aca="false">'Balance Sheet'!D25-'Balance Sheet'!C25</f>
        <v>5978</v>
      </c>
      <c r="D15" s="21" t="n">
        <f aca="false">'Balance Sheet'!E25-'Balance Sheet'!D25</f>
        <v>7065</v>
      </c>
    </row>
    <row r="16" customFormat="false" ht="15" hidden="false" customHeight="false" outlineLevel="0" collapsed="false">
      <c r="A16" s="13" t="s">
        <v>144</v>
      </c>
      <c r="B16" s="21" t="n">
        <f aca="false">'Balance Sheet'!C26-'Balance Sheet'!B26</f>
        <v>4066</v>
      </c>
      <c r="C16" s="21" t="n">
        <f aca="false">'Balance Sheet'!D26-'Balance Sheet'!C26</f>
        <v>4960</v>
      </c>
      <c r="D16" s="21" t="n">
        <f aca="false">'Balance Sheet'!E26-'Balance Sheet'!D26</f>
        <v>5351</v>
      </c>
    </row>
    <row r="17" customFormat="false" ht="15" hidden="false" customHeight="false" outlineLevel="0" collapsed="false">
      <c r="A17" s="13" t="s">
        <v>145</v>
      </c>
      <c r="B17" s="21" t="n">
        <f aca="false">'Balance Sheet'!C27-'Balance Sheet'!B27</f>
        <v>7115</v>
      </c>
      <c r="C17" s="21" t="n">
        <f aca="false">'Balance Sheet'!D27-'Balance Sheet'!C27</f>
        <v>11982</v>
      </c>
      <c r="D17" s="21" t="n">
        <f aca="false">'Balance Sheet'!E27-'Balance Sheet'!D27</f>
        <v>13031</v>
      </c>
    </row>
    <row r="18" customFormat="false" ht="15" hidden="false" customHeight="false" outlineLevel="0" collapsed="false">
      <c r="A18" s="13" t="s">
        <v>146</v>
      </c>
      <c r="B18" s="21" t="n">
        <f aca="false">'Balance Sheet'!C28-'Balance Sheet'!B28</f>
        <v>5087</v>
      </c>
      <c r="C18" s="21" t="n">
        <f aca="false">'Balance Sheet'!D28-'Balance Sheet'!C28</f>
        <v>6049</v>
      </c>
      <c r="D18" s="21" t="n">
        <f aca="false">'Balance Sheet'!E28-'Balance Sheet'!D28</f>
        <v>7820</v>
      </c>
    </row>
    <row r="19" customFormat="false" ht="15" hidden="false" customHeight="false" outlineLevel="0" collapsed="false">
      <c r="A19" s="13" t="s">
        <v>147</v>
      </c>
      <c r="B19" s="21" t="n">
        <f aca="false">'Balance Sheet'!C34-'Balance Sheet'!B34</f>
        <v>4623</v>
      </c>
      <c r="C19" s="21" t="n">
        <f aca="false">'Balance Sheet'!D34-'Balance Sheet'!C34</f>
        <v>6556</v>
      </c>
      <c r="D19" s="21" t="n">
        <f aca="false">'Balance Sheet'!E34-'Balance Sheet'!D34</f>
        <v>4934</v>
      </c>
    </row>
    <row r="20" customFormat="false" ht="15" hidden="false" customHeight="false" outlineLevel="0" collapsed="false">
      <c r="A20" s="13" t="s">
        <v>148</v>
      </c>
      <c r="B20" s="21" t="n">
        <f aca="false">'Balance Sheet'!C29-'Balance Sheet'!B29</f>
        <v>3132</v>
      </c>
      <c r="C20" s="21" t="n">
        <f aca="false">'Balance Sheet'!D29-'Balance Sheet'!C29</f>
        <v>7969</v>
      </c>
      <c r="D20" s="21" t="n">
        <f aca="false">'Balance Sheet'!E29-'Balance Sheet'!D29</f>
        <v>3093</v>
      </c>
    </row>
    <row r="21" customFormat="false" ht="15" hidden="false" customHeight="false" outlineLevel="0" collapsed="false">
      <c r="A21" s="3" t="s">
        <v>149</v>
      </c>
      <c r="B21" s="15" t="n">
        <f aca="false">SUM(B7:B20)</f>
        <v>335849</v>
      </c>
      <c r="C21" s="15" t="n">
        <f aca="false">SUM(C7:C20)</f>
        <v>351553</v>
      </c>
      <c r="D21" s="15" t="n">
        <f aca="false">SUM(D7:D20)</f>
        <v>322797</v>
      </c>
    </row>
    <row r="23" customFormat="false" ht="15" hidden="false" customHeight="false" outlineLevel="0" collapsed="false">
      <c r="A23" s="11" t="s">
        <v>150</v>
      </c>
      <c r="B23" s="12"/>
      <c r="C23" s="12"/>
      <c r="D23" s="12"/>
      <c r="E23" s="12"/>
    </row>
    <row r="24" customFormat="false" ht="15" hidden="false" customHeight="false" outlineLevel="0" collapsed="false">
      <c r="A24" s="13" t="s">
        <v>151</v>
      </c>
      <c r="B24" s="21" t="n">
        <f aca="false">-'Balance Sheet'!C53</f>
        <v>-60097</v>
      </c>
      <c r="C24" s="21" t="n">
        <f aca="false">-'Balance Sheet'!D53</f>
        <v>-79580</v>
      </c>
      <c r="D24" s="21" t="n">
        <f aca="false">-'Balance Sheet'!E53</f>
        <v>-89533</v>
      </c>
    </row>
    <row r="25" customFormat="false" ht="15" hidden="false" customHeight="false" outlineLevel="0" collapsed="false">
      <c r="A25" s="3" t="s">
        <v>152</v>
      </c>
      <c r="B25" s="15" t="n">
        <f aca="false">B24</f>
        <v>-60097</v>
      </c>
      <c r="C25" s="15" t="n">
        <f aca="false">C24</f>
        <v>-79580</v>
      </c>
      <c r="D25" s="15" t="n">
        <f aca="false">D24</f>
        <v>-89533</v>
      </c>
    </row>
    <row r="27" customFormat="false" ht="15" hidden="false" customHeight="false" outlineLevel="0" collapsed="false">
      <c r="A27" s="11" t="s">
        <v>153</v>
      </c>
      <c r="B27" s="12"/>
      <c r="C27" s="12"/>
      <c r="D27" s="12"/>
      <c r="E27" s="12"/>
    </row>
    <row r="28" customFormat="false" ht="15" hidden="false" customHeight="false" outlineLevel="0" collapsed="false">
      <c r="A28" s="13" t="s">
        <v>154</v>
      </c>
      <c r="B28" s="21" t="n">
        <f aca="false">('Balance Sheet'!C30+'Balance Sheet'!C35)-('Balance Sheet'!B30+'Balance Sheet'!B35)</f>
        <v>17844</v>
      </c>
      <c r="C28" s="21" t="n">
        <f aca="false">('Balance Sheet'!D30+'Balance Sheet'!D35)-('Balance Sheet'!C30+'Balance Sheet'!C35)</f>
        <v>29308</v>
      </c>
      <c r="D28" s="21" t="n">
        <f aca="false">('Balance Sheet'!E30+'Balance Sheet'!E35)-('Balance Sheet'!D30+'Balance Sheet'!D35)</f>
        <v>25058</v>
      </c>
    </row>
    <row r="29" customFormat="false" ht="15" hidden="false" customHeight="false" outlineLevel="0" collapsed="false">
      <c r="A29" s="13" t="s">
        <v>155</v>
      </c>
      <c r="B29" s="21" t="n">
        <f aca="false">-('Balance Sheet'!C12-'Balance Sheet'!B12)</f>
        <v>-24689</v>
      </c>
      <c r="C29" s="21" t="n">
        <f aca="false">-('Balance Sheet'!D12-'Balance Sheet'!C12)</f>
        <v>-24834</v>
      </c>
      <c r="D29" s="21" t="n">
        <f aca="false">-('Balance Sheet'!E12-'Balance Sheet'!D12)</f>
        <v>-29764</v>
      </c>
      <c r="E29" s="2" t="s">
        <v>156</v>
      </c>
    </row>
    <row r="30" customFormat="false" ht="15" hidden="false" customHeight="false" outlineLevel="0" collapsed="false">
      <c r="A30" s="13" t="s">
        <v>157</v>
      </c>
      <c r="B30" s="21" t="n">
        <f aca="false">-'Balance Sheet'!C54</f>
        <v>-219231</v>
      </c>
      <c r="C30" s="21" t="n">
        <f aca="false">-'Balance Sheet'!D54</f>
        <v>-258946</v>
      </c>
      <c r="D30" s="21" t="n">
        <f aca="false">-'Balance Sheet'!E54</f>
        <v>-239539</v>
      </c>
    </row>
    <row r="31" customFormat="false" ht="15" hidden="false" customHeight="false" outlineLevel="0" collapsed="false">
      <c r="A31" s="3" t="s">
        <v>158</v>
      </c>
      <c r="B31" s="15" t="n">
        <f aca="false">SUM(B28:B30)</f>
        <v>-226076</v>
      </c>
      <c r="C31" s="15" t="n">
        <f aca="false">SUM(C28:C30)</f>
        <v>-254472</v>
      </c>
      <c r="D31" s="15" t="n">
        <f aca="false">SUM(D28:D30)</f>
        <v>-244245</v>
      </c>
    </row>
    <row r="33" customFormat="false" ht="15" hidden="false" customHeight="false" outlineLevel="0" collapsed="false">
      <c r="A33" s="3" t="s">
        <v>159</v>
      </c>
      <c r="B33" s="15" t="n">
        <f aca="false">B21+B25+B31</f>
        <v>49676</v>
      </c>
      <c r="C33" s="15" t="n">
        <f aca="false">C21+C25+C31</f>
        <v>17501</v>
      </c>
      <c r="D33" s="15" t="n">
        <f aca="false">D21+D25+D31</f>
        <v>-10981</v>
      </c>
    </row>
    <row r="34" customFormat="false" ht="15" hidden="false" customHeight="false" outlineLevel="0" collapsed="false">
      <c r="A34" s="13" t="s">
        <v>160</v>
      </c>
      <c r="B34" s="21" t="n">
        <f aca="false">'Balance Sheet'!B7</f>
        <v>76631</v>
      </c>
      <c r="C34" s="21" t="n">
        <f aca="false">'Balance Sheet'!C7</f>
        <v>126307</v>
      </c>
      <c r="D34" s="21" t="n">
        <f aca="false">'Balance Sheet'!D7</f>
        <v>143808</v>
      </c>
    </row>
    <row r="35" customFormat="false" ht="15" hidden="false" customHeight="false" outlineLevel="0" collapsed="false">
      <c r="A35" s="3" t="s">
        <v>161</v>
      </c>
      <c r="B35" s="20" t="n">
        <f aca="false">B33+B34</f>
        <v>126307</v>
      </c>
      <c r="C35" s="20" t="n">
        <f aca="false">C33+C34</f>
        <v>143808</v>
      </c>
      <c r="D35" s="20" t="n">
        <f aca="false">D33+D34</f>
        <v>132827</v>
      </c>
    </row>
    <row r="36" customFormat="false" ht="15" hidden="false" customHeight="false" outlineLevel="0" collapsed="false">
      <c r="A36" s="22" t="s">
        <v>162</v>
      </c>
      <c r="B36" s="23" t="n">
        <f aca="false">ROUND(B35-'Balance Sheet'!C7,0)</f>
        <v>0</v>
      </c>
      <c r="C36" s="23" t="n">
        <f aca="false">ROUND(C35-'Balance Sheet'!D7,0)</f>
        <v>0</v>
      </c>
      <c r="D36" s="23" t="n">
        <f aca="false">ROUND(D35-'Balance Sheet'!E7,0)</f>
        <v>0</v>
      </c>
    </row>
    <row r="38" customFormat="false" ht="15" hidden="false" customHeight="false" outlineLevel="0" collapsed="false">
      <c r="A38" s="3" t="s">
        <v>163</v>
      </c>
      <c r="B38" s="26" t="n">
        <f aca="false">B21+B25</f>
        <v>275752</v>
      </c>
      <c r="C38" s="26" t="n">
        <f aca="false">C21+C25</f>
        <v>271973</v>
      </c>
      <c r="D38" s="26" t="n">
        <f aca="false">D21+D25</f>
        <v>233264</v>
      </c>
    </row>
    <row r="39" customFormat="false" ht="15" hidden="false" customHeight="false" outlineLevel="0" collapsed="false">
      <c r="A39" s="13" t="s">
        <v>164</v>
      </c>
      <c r="B39" s="16" t="n">
        <f aca="false">IF('P&amp;L'!B38=0,0,B21/'P&amp;L'!B38)</f>
        <v>0.743119184856564</v>
      </c>
      <c r="C39" s="16" t="n">
        <f aca="false">IF('P&amp;L'!C38=0,0,C21/'P&amp;L'!C38)</f>
        <v>0.644544019478246</v>
      </c>
      <c r="D39" s="16" t="n">
        <f aca="false">IF('P&amp;L'!D38=0,0,D21/'P&amp;L'!D38)</f>
        <v>0.577028063344971</v>
      </c>
    </row>
    <row r="40" customFormat="false" ht="15" hidden="false" customHeight="false" outlineLevel="0" collapsed="false">
      <c r="A40" s="13" t="s">
        <v>165</v>
      </c>
      <c r="B40" s="19" t="n">
        <f aca="false">-(B29+B30)</f>
        <v>243920</v>
      </c>
      <c r="C40" s="19" t="n">
        <f aca="false">-(C29+C30)</f>
        <v>283780</v>
      </c>
      <c r="D40" s="19" t="n">
        <f aca="false">-(D29+D30)</f>
        <v>269303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166</v>
      </c>
    </row>
    <row r="3" customFormat="false" ht="15" hidden="false" customHeight="false" outlineLevel="0" collapsed="false">
      <c r="A3" s="2" t="s">
        <v>37</v>
      </c>
    </row>
    <row r="5" customFormat="false" ht="15" hidden="false" customHeight="false" outlineLevel="0" collapsed="false">
      <c r="A5" s="9" t="s">
        <v>38</v>
      </c>
      <c r="B5" s="10" t="s">
        <v>167</v>
      </c>
      <c r="C5" s="10" t="s">
        <v>168</v>
      </c>
      <c r="D5" s="10" t="s">
        <v>169</v>
      </c>
      <c r="E5" s="9" t="s">
        <v>170</v>
      </c>
    </row>
    <row r="6" customFormat="false" ht="15" hidden="false" customHeight="false" outlineLevel="0" collapsed="false">
      <c r="A6" s="3" t="s">
        <v>171</v>
      </c>
      <c r="B6" s="27" t="n">
        <f aca="false">'P&amp;L'!D38</f>
        <v>559413</v>
      </c>
      <c r="C6" s="27" t="n">
        <f aca="false">'P&amp;L'!D38</f>
        <v>559413</v>
      </c>
      <c r="D6" s="26" t="n">
        <f aca="false">B6-C6</f>
        <v>0</v>
      </c>
    </row>
    <row r="8" customFormat="false" ht="15" hidden="false" customHeight="false" outlineLevel="0" collapsed="false">
      <c r="A8" s="11" t="s">
        <v>172</v>
      </c>
      <c r="B8" s="12"/>
      <c r="C8" s="12"/>
      <c r="D8" s="12"/>
      <c r="E8" s="12"/>
    </row>
    <row r="9" customFormat="false" ht="23.85" hidden="false" customHeight="false" outlineLevel="0" collapsed="false">
      <c r="A9" s="13" t="s">
        <v>173</v>
      </c>
      <c r="B9" s="21" t="n">
        <f aca="false">'P&amp;L'!D23</f>
        <v>179546</v>
      </c>
      <c r="C9" s="14" t="n">
        <v>19893</v>
      </c>
      <c r="D9" s="19" t="n">
        <f aca="false">B9-C9</f>
        <v>159653</v>
      </c>
      <c r="E9" s="4" t="s">
        <v>174</v>
      </c>
    </row>
    <row r="10" customFormat="false" ht="15" hidden="false" customHeight="false" outlineLevel="0" collapsed="false">
      <c r="A10" s="13" t="s">
        <v>175</v>
      </c>
      <c r="B10" s="21" t="n">
        <f aca="false">'P&amp;L'!D24</f>
        <v>69839</v>
      </c>
      <c r="C10" s="14" t="n">
        <v>0</v>
      </c>
      <c r="D10" s="19" t="n">
        <f aca="false">B10-C10</f>
        <v>69839</v>
      </c>
      <c r="E10" s="4" t="s">
        <v>176</v>
      </c>
    </row>
    <row r="11" customFormat="false" ht="23.85" hidden="false" customHeight="false" outlineLevel="0" collapsed="false">
      <c r="A11" s="13" t="s">
        <v>177</v>
      </c>
      <c r="B11" s="14" t="n">
        <v>23856</v>
      </c>
      <c r="C11" s="14" t="n">
        <v>23900</v>
      </c>
      <c r="D11" s="19" t="n">
        <f aca="false">B11-C11</f>
        <v>-44</v>
      </c>
      <c r="E11" s="4" t="s">
        <v>178</v>
      </c>
    </row>
    <row r="12" customFormat="false" ht="15" hidden="false" customHeight="false" outlineLevel="0" collapsed="false">
      <c r="A12" s="13" t="s">
        <v>179</v>
      </c>
      <c r="B12" s="21" t="n">
        <f aca="false">'P&amp;L'!D31</f>
        <v>38171</v>
      </c>
      <c r="C12" s="14" t="n">
        <v>25876</v>
      </c>
      <c r="D12" s="19" t="n">
        <f aca="false">B12-C12</f>
        <v>12295</v>
      </c>
      <c r="E12" s="4" t="s">
        <v>180</v>
      </c>
    </row>
    <row r="13" customFormat="false" ht="15" hidden="false" customHeight="false" outlineLevel="0" collapsed="false">
      <c r="A13" s="13" t="s">
        <v>181</v>
      </c>
      <c r="B13" s="14" t="n">
        <v>29951</v>
      </c>
      <c r="C13" s="14" t="n">
        <v>29829</v>
      </c>
      <c r="D13" s="19" t="n">
        <f aca="false">B13-C13</f>
        <v>122</v>
      </c>
      <c r="E13" s="4" t="s">
        <v>182</v>
      </c>
    </row>
    <row r="14" customFormat="false" ht="15" hidden="false" customHeight="false" outlineLevel="0" collapsed="false">
      <c r="A14" s="13" t="s">
        <v>183</v>
      </c>
      <c r="B14" s="14" t="n">
        <v>22099</v>
      </c>
      <c r="C14" s="14" t="n">
        <v>0</v>
      </c>
      <c r="D14" s="19" t="n">
        <f aca="false">B14-C14</f>
        <v>22099</v>
      </c>
      <c r="E14" s="4" t="s">
        <v>184</v>
      </c>
    </row>
    <row r="15" customFormat="false" ht="15" hidden="false" customHeight="false" outlineLevel="0" collapsed="false">
      <c r="A15" s="13" t="s">
        <v>185</v>
      </c>
      <c r="B15" s="14" t="n">
        <v>45062</v>
      </c>
      <c r="C15" s="14" t="n">
        <v>0</v>
      </c>
      <c r="D15" s="19" t="n">
        <f aca="false">B15-C15</f>
        <v>45062</v>
      </c>
      <c r="E15" s="4" t="s">
        <v>186</v>
      </c>
    </row>
    <row r="16" customFormat="false" ht="23.85" hidden="false" customHeight="false" outlineLevel="0" collapsed="false">
      <c r="A16" s="13" t="s">
        <v>187</v>
      </c>
      <c r="B16" s="14" t="n">
        <v>0</v>
      </c>
      <c r="C16" s="14" t="n">
        <v>-44810</v>
      </c>
      <c r="D16" s="19" t="n">
        <f aca="false">B16-C16</f>
        <v>44810</v>
      </c>
      <c r="E16" s="4" t="s">
        <v>188</v>
      </c>
    </row>
    <row r="17" customFormat="false" ht="15" hidden="false" customHeight="false" outlineLevel="0" collapsed="false">
      <c r="A17" s="3" t="s">
        <v>189</v>
      </c>
      <c r="B17" s="15" t="n">
        <f aca="false">SUM(B9:B16)</f>
        <v>408524</v>
      </c>
      <c r="C17" s="15" t="n">
        <f aca="false">SUM(C9:C16)</f>
        <v>54688</v>
      </c>
      <c r="D17" s="15" t="n">
        <f aca="false">B17-C17</f>
        <v>353836</v>
      </c>
    </row>
    <row r="19" customFormat="false" ht="15" hidden="false" customHeight="false" outlineLevel="0" collapsed="false">
      <c r="A19" s="7" t="s">
        <v>190</v>
      </c>
      <c r="B19" s="28" t="n">
        <f aca="false">B6+B17</f>
        <v>967937</v>
      </c>
      <c r="C19" s="28" t="n">
        <f aca="false">C6+C17</f>
        <v>614101</v>
      </c>
      <c r="D19" s="28" t="n">
        <f aca="false">B19-C19</f>
        <v>353836</v>
      </c>
    </row>
    <row r="21" customFormat="false" ht="15" hidden="false" customHeight="false" outlineLevel="0" collapsed="false">
      <c r="A21" s="24" t="s">
        <v>191</v>
      </c>
      <c r="B21" s="29" t="n">
        <v>4</v>
      </c>
      <c r="C21" s="29" t="n">
        <v>4</v>
      </c>
    </row>
    <row r="22" customFormat="false" ht="15" hidden="false" customHeight="false" outlineLevel="0" collapsed="false">
      <c r="A22" s="3" t="s">
        <v>192</v>
      </c>
      <c r="B22" s="20" t="n">
        <f aca="false">B19*B21</f>
        <v>3871748</v>
      </c>
      <c r="C22" s="20" t="n">
        <f aca="false">C19*C21</f>
        <v>2456404</v>
      </c>
      <c r="D22" s="20" t="n">
        <f aca="false">B22-C22</f>
        <v>1415344</v>
      </c>
    </row>
    <row r="24" customFormat="false" ht="15" hidden="false" customHeight="false" outlineLevel="0" collapsed="false">
      <c r="A24" s="2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194</v>
      </c>
    </row>
    <row r="3" customFormat="false" ht="15" hidden="false" customHeight="false" outlineLevel="0" collapsed="false">
      <c r="A3" s="2" t="s">
        <v>37</v>
      </c>
    </row>
    <row r="5" customFormat="false" ht="15" hidden="false" customHeight="false" outlineLevel="0" collapsed="false">
      <c r="A5" s="9" t="s">
        <v>38</v>
      </c>
      <c r="B5" s="10" t="s">
        <v>88</v>
      </c>
      <c r="C5" s="10" t="s">
        <v>39</v>
      </c>
      <c r="D5" s="10" t="s">
        <v>40</v>
      </c>
      <c r="E5" s="10" t="s">
        <v>41</v>
      </c>
    </row>
    <row r="6" customFormat="false" ht="15" hidden="false" customHeight="false" outlineLevel="0" collapsed="false">
      <c r="A6" s="11" t="s">
        <v>195</v>
      </c>
      <c r="B6" s="12"/>
      <c r="C6" s="12"/>
      <c r="D6" s="12"/>
      <c r="E6" s="12"/>
      <c r="F6" s="12"/>
    </row>
    <row r="7" customFormat="false" ht="15" hidden="false" customHeight="false" outlineLevel="0" collapsed="false">
      <c r="A7" s="13" t="s">
        <v>92</v>
      </c>
      <c r="B7" s="21" t="n">
        <f aca="false">'Balance Sheet'!B8</f>
        <v>522121</v>
      </c>
      <c r="C7" s="21" t="n">
        <f aca="false">'Balance Sheet'!C8</f>
        <v>545931</v>
      </c>
      <c r="D7" s="21" t="n">
        <f aca="false">'Balance Sheet'!D8</f>
        <v>651484</v>
      </c>
      <c r="E7" s="21" t="n">
        <f aca="false">'Balance Sheet'!E8</f>
        <v>769684</v>
      </c>
    </row>
    <row r="8" customFormat="false" ht="15" hidden="false" customHeight="false" outlineLevel="0" collapsed="false">
      <c r="A8" s="13" t="s">
        <v>196</v>
      </c>
      <c r="B8" s="21" t="n">
        <f aca="false">'Balance Sheet'!B9</f>
        <v>41219</v>
      </c>
      <c r="C8" s="21" t="n">
        <f aca="false">'Balance Sheet'!C9</f>
        <v>47985</v>
      </c>
      <c r="D8" s="21" t="n">
        <f aca="false">'Balance Sheet'!D9</f>
        <v>62122</v>
      </c>
      <c r="E8" s="21" t="n">
        <f aca="false">'Balance Sheet'!E9</f>
        <v>84552</v>
      </c>
    </row>
    <row r="9" customFormat="false" ht="15" hidden="false" customHeight="false" outlineLevel="0" collapsed="false">
      <c r="A9" s="13" t="s">
        <v>197</v>
      </c>
      <c r="B9" s="21" t="n">
        <f aca="false">'Balance Sheet'!B10</f>
        <v>57138</v>
      </c>
      <c r="C9" s="21" t="n">
        <f aca="false">'Balance Sheet'!C10</f>
        <v>62109</v>
      </c>
      <c r="D9" s="21" t="n">
        <f aca="false">'Balance Sheet'!D10</f>
        <v>68402</v>
      </c>
      <c r="E9" s="21" t="n">
        <f aca="false">'Balance Sheet'!E10</f>
        <v>74286</v>
      </c>
    </row>
    <row r="10" customFormat="false" ht="15" hidden="false" customHeight="false" outlineLevel="0" collapsed="false">
      <c r="A10" s="13" t="s">
        <v>96</v>
      </c>
      <c r="B10" s="21" t="n">
        <f aca="false">'Balance Sheet'!B11</f>
        <v>15959</v>
      </c>
      <c r="C10" s="21" t="n">
        <f aca="false">'Balance Sheet'!C11</f>
        <v>17975</v>
      </c>
      <c r="D10" s="21" t="n">
        <f aca="false">'Balance Sheet'!D11</f>
        <v>20040</v>
      </c>
      <c r="E10" s="21" t="n">
        <f aca="false">'Balance Sheet'!E11</f>
        <v>21874</v>
      </c>
    </row>
    <row r="11" customFormat="false" ht="15" hidden="false" customHeight="false" outlineLevel="0" collapsed="false">
      <c r="A11" s="13" t="s">
        <v>198</v>
      </c>
      <c r="B11" s="21" t="n">
        <f aca="false">-'Balance Sheet'!B23</f>
        <v>-97703</v>
      </c>
      <c r="C11" s="21" t="n">
        <f aca="false">-'Balance Sheet'!C23</f>
        <v>-94606</v>
      </c>
      <c r="D11" s="21" t="n">
        <f aca="false">-'Balance Sheet'!D23</f>
        <v>-114359</v>
      </c>
      <c r="E11" s="21" t="n">
        <f aca="false">-'Balance Sheet'!E23</f>
        <v>-115149</v>
      </c>
    </row>
    <row r="12" customFormat="false" ht="15" hidden="false" customHeight="false" outlineLevel="0" collapsed="false">
      <c r="A12" s="13" t="s">
        <v>199</v>
      </c>
      <c r="B12" s="21" t="n">
        <f aca="false">-'Balance Sheet'!B24</f>
        <v>-38949</v>
      </c>
      <c r="C12" s="21" t="n">
        <f aca="false">-'Balance Sheet'!C24</f>
        <v>-42187</v>
      </c>
      <c r="D12" s="21" t="n">
        <f aca="false">-'Balance Sheet'!D24</f>
        <v>-45768</v>
      </c>
      <c r="E12" s="21" t="n">
        <f aca="false">-'Balance Sheet'!E24</f>
        <v>-50969</v>
      </c>
    </row>
    <row r="13" customFormat="false" ht="15" hidden="false" customHeight="false" outlineLevel="0" collapsed="false">
      <c r="A13" s="13" t="s">
        <v>200</v>
      </c>
      <c r="B13" s="21" t="n">
        <f aca="false">-'Balance Sheet'!B25</f>
        <v>-52031</v>
      </c>
      <c r="C13" s="21" t="n">
        <f aca="false">-'Balance Sheet'!C25</f>
        <v>-58267</v>
      </c>
      <c r="D13" s="21" t="n">
        <f aca="false">-'Balance Sheet'!D25</f>
        <v>-64245</v>
      </c>
      <c r="E13" s="21" t="n">
        <f aca="false">-'Balance Sheet'!E25</f>
        <v>-71310</v>
      </c>
    </row>
    <row r="14" customFormat="false" ht="15" hidden="false" customHeight="false" outlineLevel="0" collapsed="false">
      <c r="A14" s="13" t="s">
        <v>201</v>
      </c>
      <c r="B14" s="21" t="n">
        <f aca="false">-'Balance Sheet'!B26</f>
        <v>-42886</v>
      </c>
      <c r="C14" s="21" t="n">
        <f aca="false">-'Balance Sheet'!C26</f>
        <v>-46952</v>
      </c>
      <c r="D14" s="21" t="n">
        <f aca="false">-'Balance Sheet'!D26</f>
        <v>-51912</v>
      </c>
      <c r="E14" s="21" t="n">
        <f aca="false">-'Balance Sheet'!E26</f>
        <v>-57263</v>
      </c>
    </row>
    <row r="15" customFormat="false" ht="15" hidden="false" customHeight="false" outlineLevel="0" collapsed="false">
      <c r="A15" s="3" t="s">
        <v>202</v>
      </c>
      <c r="B15" s="15" t="n">
        <f aca="false">SUM(B7:B14)</f>
        <v>404868</v>
      </c>
      <c r="C15" s="15" t="n">
        <f aca="false">SUM(C7:C14)</f>
        <v>431988</v>
      </c>
      <c r="D15" s="15" t="n">
        <f aca="false">SUM(D7:D14)</f>
        <v>525764</v>
      </c>
      <c r="E15" s="15" t="n">
        <f aca="false">SUM(E7:E14)</f>
        <v>655705</v>
      </c>
    </row>
    <row r="16" customFormat="false" ht="15" hidden="false" customHeight="false" outlineLevel="0" collapsed="false">
      <c r="A16" s="13" t="s">
        <v>203</v>
      </c>
      <c r="C16" s="16" t="n">
        <f aca="false">IF('P&amp;L'!B10=0,0,C15/'P&amp;L'!B10)</f>
        <v>0.12573880878962</v>
      </c>
      <c r="D16" s="16" t="n">
        <f aca="false">IF('P&amp;L'!C10=0,0,D15/'P&amp;L'!C10)</f>
        <v>0.13708381536273</v>
      </c>
      <c r="E16" s="16" t="n">
        <f aca="false">IF('P&amp;L'!D10=0,0,E15/'P&amp;L'!D10)</f>
        <v>0.156378821646747</v>
      </c>
    </row>
    <row r="17" customFormat="false" ht="15" hidden="false" customHeight="false" outlineLevel="0" collapsed="false">
      <c r="A17" s="2" t="s">
        <v>204</v>
      </c>
    </row>
    <row r="19" customFormat="false" ht="15" hidden="false" customHeight="false" outlineLevel="0" collapsed="false">
      <c r="A19" s="11" t="s">
        <v>205</v>
      </c>
      <c r="B19" s="12"/>
      <c r="C19" s="12"/>
      <c r="D19" s="12"/>
      <c r="E19" s="12"/>
      <c r="F19" s="12"/>
    </row>
    <row r="20" customFormat="false" ht="15" hidden="false" customHeight="false" outlineLevel="0" collapsed="false">
      <c r="A20" s="13" t="s">
        <v>206</v>
      </c>
      <c r="C20" s="30" t="n">
        <f aca="false">C7/'P&amp;L'!B10*365</f>
        <v>58.0000381301887</v>
      </c>
      <c r="D20" s="30" t="n">
        <f aca="false">D7/'P&amp;L'!C10*365</f>
        <v>62.0000380669598</v>
      </c>
      <c r="E20" s="30" t="n">
        <f aca="false">E7/'P&amp;L'!D10*365</f>
        <v>66.9999940377601</v>
      </c>
    </row>
    <row r="21" customFormat="false" ht="15" hidden="false" customHeight="false" outlineLevel="0" collapsed="false">
      <c r="A21" s="13" t="s">
        <v>207</v>
      </c>
      <c r="C21" s="30" t="n">
        <f aca="false">C8/'P&amp;L'!B10*365</f>
        <v>5.09795529046181</v>
      </c>
      <c r="D21" s="30" t="n">
        <f aca="false">D8/'P&amp;L'!C10*365</f>
        <v>5.91198918898342</v>
      </c>
      <c r="E21" s="30" t="n">
        <f aca="false">E8/'P&amp;L'!D10*365</f>
        <v>7.36014194900854</v>
      </c>
    </row>
    <row r="22" customFormat="false" ht="15" hidden="false" customHeight="false" outlineLevel="0" collapsed="false">
      <c r="A22" s="13" t="s">
        <v>208</v>
      </c>
      <c r="C22" s="30" t="n">
        <f aca="false">C9/'P&amp;L'!B14*365</f>
        <v>31.5143504951706</v>
      </c>
      <c r="D22" s="30" t="n">
        <f aca="false">D9/'P&amp;L'!C14*365</f>
        <v>30.7027006420496</v>
      </c>
      <c r="E22" s="30" t="n">
        <f aca="false">E9/'P&amp;L'!D14*365</f>
        <v>30.6037707312338</v>
      </c>
    </row>
    <row r="23" customFormat="false" ht="15" hidden="false" customHeight="false" outlineLevel="0" collapsed="false">
      <c r="A23" s="13" t="s">
        <v>131</v>
      </c>
      <c r="C23" s="30" t="n">
        <f aca="false">-C11/('P&amp;L'!B14+'P&amp;L'!B15)*365</f>
        <v>37.9999383746535</v>
      </c>
      <c r="D23" s="30" t="n">
        <f aca="false">-D11/('P&amp;L'!C14+'P&amp;L'!C15)*365</f>
        <v>39.9998802141579</v>
      </c>
      <c r="E23" s="30" t="n">
        <f aca="false">-E11/('P&amp;L'!D14+'P&amp;L'!D15)*365</f>
        <v>35.9999049239134</v>
      </c>
    </row>
    <row r="24" customFormat="false" ht="15" hidden="false" customHeight="false" outlineLevel="0" collapsed="false">
      <c r="A24" s="3" t="s">
        <v>209</v>
      </c>
      <c r="C24" s="31" t="n">
        <f aca="false">C20+C21+C22-C23</f>
        <v>56.6124055411676</v>
      </c>
      <c r="D24" s="31" t="n">
        <f aca="false">D20+D21+D22-D23</f>
        <v>58.6148476838349</v>
      </c>
      <c r="E24" s="31" t="n">
        <f aca="false">E20+E21+E22-E23</f>
        <v>68.964001794089</v>
      </c>
    </row>
    <row r="26" customFormat="false" ht="15" hidden="false" customHeight="false" outlineLevel="0" collapsed="false">
      <c r="A26" s="11" t="s">
        <v>210</v>
      </c>
      <c r="B26" s="12"/>
      <c r="C26" s="12"/>
      <c r="D26" s="12"/>
      <c r="E26" s="12"/>
      <c r="F26" s="12"/>
    </row>
    <row r="27" customFormat="false" ht="15" hidden="false" customHeight="false" outlineLevel="0" collapsed="false">
      <c r="A27" s="13" t="s">
        <v>211</v>
      </c>
      <c r="B27" s="16"/>
      <c r="C27" s="16"/>
      <c r="D27" s="16"/>
      <c r="E27" s="16" t="n">
        <f aca="false">AVERAGE(C16:E16)</f>
        <v>0.139733815266366</v>
      </c>
    </row>
    <row r="28" customFormat="false" ht="15" hidden="false" customHeight="false" outlineLevel="0" collapsed="false">
      <c r="A28" s="7" t="s">
        <v>212</v>
      </c>
      <c r="B28" s="32"/>
      <c r="C28" s="32"/>
      <c r="D28" s="32"/>
      <c r="E28" s="32" t="n">
        <f aca="false">E27*'P&amp;L'!D10</f>
        <v>585911.57277171</v>
      </c>
    </row>
    <row r="29" customFormat="false" ht="15" hidden="false" customHeight="false" outlineLevel="0" collapsed="false">
      <c r="A29" s="13" t="s">
        <v>213</v>
      </c>
      <c r="B29" s="19"/>
      <c r="C29" s="19"/>
      <c r="D29" s="19"/>
      <c r="E29" s="19" t="n">
        <f aca="false">E15</f>
        <v>655705</v>
      </c>
    </row>
    <row r="30" customFormat="false" ht="15" hidden="false" customHeight="false" outlineLevel="0" collapsed="false">
      <c r="A30" s="3" t="s">
        <v>214</v>
      </c>
      <c r="B30" s="20"/>
      <c r="C30" s="20"/>
      <c r="D30" s="20"/>
      <c r="E30" s="20" t="n">
        <f aca="false">E29-E28</f>
        <v>69793.4272282898</v>
      </c>
    </row>
    <row r="32" customFormat="false" ht="15" hidden="false" customHeight="false" outlineLevel="0" collapsed="false">
      <c r="A32" s="2" t="s">
        <v>215</v>
      </c>
      <c r="E32" s="33" t="n">
        <f aca="false">'P&amp;L'!D10/365</f>
        <v>11487.8219178082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5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216</v>
      </c>
    </row>
    <row r="3" customFormat="false" ht="15" hidden="false" customHeight="false" outlineLevel="0" collapsed="false">
      <c r="A3" s="2" t="s">
        <v>37</v>
      </c>
    </row>
    <row r="5" customFormat="false" ht="15" hidden="false" customHeight="false" outlineLevel="0" collapsed="false">
      <c r="A5" s="9" t="s">
        <v>38</v>
      </c>
      <c r="B5" s="10" t="s">
        <v>217</v>
      </c>
      <c r="C5" s="10" t="s">
        <v>218</v>
      </c>
      <c r="D5" s="9" t="s">
        <v>219</v>
      </c>
    </row>
    <row r="6" customFormat="false" ht="15" hidden="false" customHeight="false" outlineLevel="0" collapsed="false">
      <c r="A6" s="13" t="s">
        <v>190</v>
      </c>
      <c r="B6" s="21" t="n">
        <f aca="false">Normalisation!C19</f>
        <v>614101</v>
      </c>
      <c r="C6" s="21" t="n">
        <f aca="false">Normalisation!B19</f>
        <v>967937</v>
      </c>
    </row>
    <row r="7" customFormat="false" ht="15" hidden="false" customHeight="false" outlineLevel="0" collapsed="false">
      <c r="A7" s="13" t="s">
        <v>191</v>
      </c>
      <c r="B7" s="34" t="n">
        <f aca="false">Normalisation!C21</f>
        <v>4</v>
      </c>
      <c r="C7" s="34" t="n">
        <f aca="false">Normalisation!B21</f>
        <v>4</v>
      </c>
    </row>
    <row r="8" customFormat="false" ht="15" hidden="false" customHeight="false" outlineLevel="0" collapsed="false">
      <c r="A8" s="3" t="s">
        <v>220</v>
      </c>
      <c r="B8" s="15" t="n">
        <f aca="false">B6*B7</f>
        <v>2456404</v>
      </c>
      <c r="C8" s="15" t="n">
        <f aca="false">C6*C7</f>
        <v>3871748</v>
      </c>
    </row>
    <row r="10" customFormat="false" ht="15" hidden="false" customHeight="false" outlineLevel="0" collapsed="false">
      <c r="A10" s="11" t="s">
        <v>221</v>
      </c>
      <c r="B10" s="12"/>
      <c r="C10" s="12"/>
      <c r="D10" s="12"/>
    </row>
    <row r="11" customFormat="false" ht="15" hidden="false" customHeight="false" outlineLevel="0" collapsed="false">
      <c r="A11" s="13" t="s">
        <v>222</v>
      </c>
      <c r="B11" s="21" t="n">
        <f aca="false">-('Balance Sheet'!E30+'Balance Sheet'!E35)</f>
        <v>-214884</v>
      </c>
      <c r="C11" s="21" t="n">
        <f aca="false">-('Balance Sheet'!E30+'Balance Sheet'!E35)</f>
        <v>-214884</v>
      </c>
      <c r="D11" s="2" t="s">
        <v>223</v>
      </c>
    </row>
    <row r="12" customFormat="false" ht="15" hidden="false" customHeight="false" outlineLevel="0" collapsed="false">
      <c r="A12" s="13" t="s">
        <v>224</v>
      </c>
      <c r="B12" s="21" t="n">
        <f aca="false">-('Balance Sheet'!E28+'Balance Sheet'!E34)</f>
        <v>-111075</v>
      </c>
      <c r="C12" s="19" t="n">
        <v>0</v>
      </c>
      <c r="D12" s="2" t="s">
        <v>225</v>
      </c>
    </row>
    <row r="13" customFormat="false" ht="15" hidden="false" customHeight="false" outlineLevel="0" collapsed="false">
      <c r="A13" s="13" t="s">
        <v>226</v>
      </c>
      <c r="B13" s="21" t="n">
        <f aca="false">-'Balance Sheet'!E27</f>
        <v>-120611</v>
      </c>
      <c r="C13" s="19" t="n">
        <v>0</v>
      </c>
      <c r="D13" s="2" t="s">
        <v>227</v>
      </c>
    </row>
    <row r="14" customFormat="false" ht="15" hidden="false" customHeight="false" outlineLevel="0" collapsed="false">
      <c r="A14" s="13" t="s">
        <v>114</v>
      </c>
      <c r="B14" s="21" t="n">
        <f aca="false">-'Balance Sheet'!E29</f>
        <v>-41033</v>
      </c>
      <c r="C14" s="21" t="n">
        <f aca="false">-'Balance Sheet'!E29</f>
        <v>-41033</v>
      </c>
      <c r="D14" s="2" t="s">
        <v>228</v>
      </c>
    </row>
    <row r="15" customFormat="false" ht="15" hidden="false" customHeight="false" outlineLevel="0" collapsed="false">
      <c r="A15" s="13" t="s">
        <v>229</v>
      </c>
      <c r="B15" s="19" t="n">
        <v>0</v>
      </c>
      <c r="C15" s="19" t="n">
        <v>0</v>
      </c>
      <c r="D15" s="2" t="s">
        <v>230</v>
      </c>
    </row>
    <row r="16" customFormat="false" ht="15" hidden="false" customHeight="false" outlineLevel="0" collapsed="false">
      <c r="A16" s="3" t="s">
        <v>231</v>
      </c>
      <c r="B16" s="15" t="n">
        <f aca="false">SUM(B11:B15)</f>
        <v>-487603</v>
      </c>
      <c r="C16" s="15" t="n">
        <f aca="false">SUM(C11:C15)</f>
        <v>-255917</v>
      </c>
    </row>
    <row r="18" customFormat="false" ht="15" hidden="false" customHeight="false" outlineLevel="0" collapsed="false">
      <c r="A18" s="11" t="s">
        <v>232</v>
      </c>
      <c r="B18" s="12"/>
      <c r="C18" s="12"/>
      <c r="D18" s="12"/>
    </row>
    <row r="19" customFormat="false" ht="15" hidden="false" customHeight="false" outlineLevel="0" collapsed="false">
      <c r="A19" s="13" t="s">
        <v>233</v>
      </c>
      <c r="B19" s="14" t="n">
        <v>100000</v>
      </c>
      <c r="C19" s="14" t="n">
        <v>100000</v>
      </c>
      <c r="D19" s="2" t="s">
        <v>234</v>
      </c>
    </row>
    <row r="20" customFormat="false" ht="15" hidden="false" customHeight="false" outlineLevel="0" collapsed="false">
      <c r="A20" s="13" t="s">
        <v>235</v>
      </c>
      <c r="B20" s="19" t="n">
        <f aca="false">MAX(0,'Balance Sheet'!E7-B19)</f>
        <v>32827</v>
      </c>
      <c r="C20" s="19" t="n">
        <f aca="false">MAX(0,'Balance Sheet'!E7-C19)</f>
        <v>32827</v>
      </c>
    </row>
    <row r="21" customFormat="false" ht="15" hidden="false" customHeight="false" outlineLevel="0" collapsed="false">
      <c r="A21" s="13" t="s">
        <v>236</v>
      </c>
      <c r="B21" s="19" t="n">
        <f aca="false">'Working Capital'!E30</f>
        <v>69793.4272282898</v>
      </c>
      <c r="C21" s="19" t="n">
        <v>0</v>
      </c>
      <c r="D21" s="2" t="s">
        <v>237</v>
      </c>
    </row>
    <row r="23" customFormat="false" ht="15" hidden="false" customHeight="false" outlineLevel="0" collapsed="false">
      <c r="A23" s="7" t="s">
        <v>238</v>
      </c>
      <c r="B23" s="28" t="n">
        <f aca="false">B8+B16+B20+B21</f>
        <v>2071421.42722829</v>
      </c>
      <c r="C23" s="28" t="n">
        <f aca="false">C8+C16+C20+C21</f>
        <v>3648658</v>
      </c>
    </row>
    <row r="24" customFormat="false" ht="15" hidden="false" customHeight="false" outlineLevel="0" collapsed="false">
      <c r="A24" s="3" t="s">
        <v>239</v>
      </c>
      <c r="B24" s="26" t="n">
        <f aca="false">C23-B23</f>
        <v>1577236.57277171</v>
      </c>
      <c r="C24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5"/>
    <col collapsed="false" customWidth="true" hidden="false" outlineLevel="0" max="4" min="4" style="0" width="2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240</v>
      </c>
    </row>
    <row r="3" customFormat="false" ht="15" hidden="false" customHeight="false" outlineLevel="0" collapsed="false">
      <c r="A3" s="2" t="s">
        <v>37</v>
      </c>
    </row>
    <row r="5" customFormat="false" ht="15" hidden="false" customHeight="false" outlineLevel="0" collapsed="false">
      <c r="A5" s="9" t="s">
        <v>38</v>
      </c>
      <c r="B5" s="10" t="s">
        <v>241</v>
      </c>
      <c r="C5" s="10" t="s">
        <v>242</v>
      </c>
      <c r="D5" s="10" t="s">
        <v>243</v>
      </c>
      <c r="E5" s="9" t="s">
        <v>219</v>
      </c>
    </row>
    <row r="6" customFormat="false" ht="15" hidden="false" customHeight="false" outlineLevel="0" collapsed="false">
      <c r="A6" s="13" t="s">
        <v>244</v>
      </c>
      <c r="B6" s="21" t="n">
        <f aca="false">'Valuation Bridge'!C8</f>
        <v>3871748</v>
      </c>
      <c r="C6" s="21" t="n">
        <f aca="false">'Valuation Bridge'!B8</f>
        <v>2456404</v>
      </c>
      <c r="D6" s="21" t="n">
        <f aca="false">'Valuation Bridge'!B8</f>
        <v>2456404</v>
      </c>
      <c r="E6" s="2" t="s">
        <v>245</v>
      </c>
    </row>
    <row r="8" customFormat="false" ht="15" hidden="false" customHeight="false" outlineLevel="0" collapsed="false">
      <c r="A8" s="11" t="s">
        <v>246</v>
      </c>
      <c r="B8" s="12"/>
      <c r="C8" s="12"/>
      <c r="D8" s="12"/>
      <c r="E8" s="12"/>
    </row>
    <row r="9" customFormat="false" ht="15" hidden="false" customHeight="false" outlineLevel="0" collapsed="false">
      <c r="A9" s="24" t="s">
        <v>247</v>
      </c>
      <c r="B9" s="35" t="n">
        <v>0.6</v>
      </c>
      <c r="C9" s="35" t="n">
        <v>0.6</v>
      </c>
      <c r="D9" s="35" t="n">
        <v>0.4</v>
      </c>
    </row>
    <row r="10" customFormat="false" ht="15" hidden="false" customHeight="false" outlineLevel="0" collapsed="false">
      <c r="A10" s="24" t="s">
        <v>248</v>
      </c>
      <c r="B10" s="35" t="n">
        <v>0.4</v>
      </c>
      <c r="C10" s="35" t="n">
        <v>0.4</v>
      </c>
      <c r="D10" s="35" t="n">
        <v>0.6</v>
      </c>
    </row>
    <row r="11" customFormat="false" ht="15" hidden="false" customHeight="false" outlineLevel="0" collapsed="false">
      <c r="A11" s="13" t="s">
        <v>249</v>
      </c>
      <c r="B11" s="16" t="n">
        <f aca="false">1-B9-B10</f>
        <v>0</v>
      </c>
      <c r="C11" s="16" t="n">
        <f aca="false">1-C9-C10</f>
        <v>0</v>
      </c>
      <c r="D11" s="16" t="n">
        <f aca="false">1-D9-D10</f>
        <v>0</v>
      </c>
      <c r="E11" s="2" t="s">
        <v>250</v>
      </c>
    </row>
    <row r="12" customFormat="false" ht="15" hidden="false" customHeight="false" outlineLevel="0" collapsed="false">
      <c r="A12" s="13" t="s">
        <v>251</v>
      </c>
      <c r="B12" s="19" t="n">
        <f aca="false">B6*B9</f>
        <v>2323048.8</v>
      </c>
      <c r="C12" s="19" t="n">
        <f aca="false">C6*C9</f>
        <v>1473842.4</v>
      </c>
      <c r="D12" s="19" t="n">
        <f aca="false">D6*D9</f>
        <v>982561.6</v>
      </c>
    </row>
    <row r="13" customFormat="false" ht="15" hidden="false" customHeight="false" outlineLevel="0" collapsed="false">
      <c r="A13" s="13" t="s">
        <v>252</v>
      </c>
      <c r="B13" s="19" t="n">
        <f aca="false">B6*B10</f>
        <v>1548699.2</v>
      </c>
      <c r="C13" s="19" t="n">
        <f aca="false">C6*C10</f>
        <v>982561.6</v>
      </c>
      <c r="D13" s="19" t="n">
        <f aca="false">D6*D10</f>
        <v>1473842.4</v>
      </c>
    </row>
    <row r="15" customFormat="false" ht="15" hidden="false" customHeight="false" outlineLevel="0" collapsed="false">
      <c r="A15" s="11" t="s">
        <v>253</v>
      </c>
      <c r="B15" s="12"/>
      <c r="C15" s="12"/>
      <c r="D15" s="12"/>
      <c r="E15" s="12"/>
    </row>
    <row r="16" customFormat="false" ht="15" hidden="false" customHeight="false" outlineLevel="0" collapsed="false">
      <c r="A16" s="13" t="s">
        <v>254</v>
      </c>
      <c r="B16" s="18" t="n">
        <v>0.085</v>
      </c>
      <c r="C16" s="18" t="n">
        <v>0.085</v>
      </c>
      <c r="D16" s="18" t="n">
        <v>0.085</v>
      </c>
    </row>
    <row r="17" customFormat="false" ht="15" hidden="false" customHeight="false" outlineLevel="0" collapsed="false">
      <c r="A17" s="24" t="s">
        <v>255</v>
      </c>
      <c r="B17" s="36" t="n">
        <v>5</v>
      </c>
      <c r="C17" s="36" t="n">
        <v>5</v>
      </c>
      <c r="D17" s="36" t="n">
        <v>10</v>
      </c>
    </row>
    <row r="18" customFormat="false" ht="15" hidden="false" customHeight="false" outlineLevel="0" collapsed="false">
      <c r="A18" s="13" t="s">
        <v>256</v>
      </c>
      <c r="B18" s="18" t="n">
        <v>0.04</v>
      </c>
      <c r="C18" s="18" t="n">
        <v>0.04</v>
      </c>
      <c r="D18" s="18" t="n">
        <v>0.04</v>
      </c>
    </row>
    <row r="19" customFormat="false" ht="15" hidden="false" customHeight="false" outlineLevel="0" collapsed="false">
      <c r="A19" s="24" t="s">
        <v>257</v>
      </c>
      <c r="B19" s="36" t="n">
        <v>7</v>
      </c>
      <c r="C19" s="36" t="n">
        <v>7</v>
      </c>
      <c r="D19" s="36" t="n">
        <v>15</v>
      </c>
      <c r="E19" s="2" t="s">
        <v>258</v>
      </c>
    </row>
    <row r="20" customFormat="false" ht="15" hidden="false" customHeight="false" outlineLevel="0" collapsed="false">
      <c r="A20" s="13" t="s">
        <v>259</v>
      </c>
      <c r="B20" s="19" t="n">
        <f aca="false">PMT(B16,B17,-B12)</f>
        <v>589510.225352246</v>
      </c>
      <c r="C20" s="19" t="n">
        <f aca="false">PMT(C16,C17,-C12)</f>
        <v>374010.724767252</v>
      </c>
      <c r="D20" s="19" t="n">
        <f aca="false">PMT(D16,D17,-D12)</f>
        <v>149749.958584148</v>
      </c>
    </row>
    <row r="21" customFormat="false" ht="15" hidden="false" customHeight="false" outlineLevel="0" collapsed="false">
      <c r="A21" s="13" t="s">
        <v>260</v>
      </c>
      <c r="B21" s="19" t="n">
        <f aca="false">PMT(B18,B19,-B13)</f>
        <v>258028.172877891</v>
      </c>
      <c r="C21" s="19" t="n">
        <f aca="false">PMT(C18,C19,-C13)</f>
        <v>163704.206980915</v>
      </c>
      <c r="D21" s="19" t="n">
        <f aca="false">PMT(D18,D19,-D13)</f>
        <v>132559.007229396</v>
      </c>
    </row>
    <row r="22" customFormat="false" ht="15" hidden="false" customHeight="false" outlineLevel="0" collapsed="false">
      <c r="A22" s="3" t="s">
        <v>261</v>
      </c>
      <c r="B22" s="15" t="n">
        <f aca="false">B20+B21</f>
        <v>847538.398230136</v>
      </c>
      <c r="C22" s="15" t="n">
        <f aca="false">C20+C21</f>
        <v>537714.931748166</v>
      </c>
      <c r="D22" s="15" t="n">
        <f aca="false">D20+D21</f>
        <v>282308.965813544</v>
      </c>
    </row>
    <row r="24" customFormat="false" ht="15" hidden="false" customHeight="false" outlineLevel="0" collapsed="false">
      <c r="A24" s="11" t="s">
        <v>262</v>
      </c>
      <c r="B24" s="12"/>
      <c r="C24" s="12"/>
      <c r="D24" s="12"/>
      <c r="E24" s="12"/>
    </row>
    <row r="25" customFormat="false" ht="15" hidden="false" customHeight="false" outlineLevel="0" collapsed="false">
      <c r="A25" s="13" t="s">
        <v>263</v>
      </c>
      <c r="B25" s="21" t="n">
        <f aca="false">'Valuation Bridge'!B6</f>
        <v>614101</v>
      </c>
      <c r="C25" s="21" t="n">
        <f aca="false">'Valuation Bridge'!B6</f>
        <v>614101</v>
      </c>
      <c r="D25" s="21" t="n">
        <f aca="false">'Valuation Bridge'!B6</f>
        <v>614101</v>
      </c>
      <c r="E25" s="2" t="s">
        <v>264</v>
      </c>
    </row>
    <row r="26" customFormat="false" ht="15" hidden="false" customHeight="false" outlineLevel="0" collapsed="false">
      <c r="A26" s="13" t="s">
        <v>265</v>
      </c>
      <c r="B26" s="21" t="n">
        <f aca="false">-ROUND(AVERAGE('Balance Sheet'!C53:E53),0)</f>
        <v>-76403</v>
      </c>
      <c r="C26" s="21" t="n">
        <f aca="false">-ROUND(AVERAGE('Balance Sheet'!C53:E53),0)</f>
        <v>-76403</v>
      </c>
      <c r="D26" s="21" t="n">
        <f aca="false">-ROUND(AVERAGE('Balance Sheet'!C53:E53),0)</f>
        <v>-76403</v>
      </c>
    </row>
    <row r="27" customFormat="false" ht="15" hidden="false" customHeight="false" outlineLevel="0" collapsed="false">
      <c r="A27" s="13" t="s">
        <v>266</v>
      </c>
      <c r="B27" s="21" t="n">
        <f aca="false">-ROUND(MAX(0,(B25-'P&amp;L'!D40-B12*B16-B13*B18)*'P&amp;L'!$B$44),0)</f>
        <v>-70130</v>
      </c>
      <c r="C27" s="21" t="n">
        <f aca="false">-ROUND(MAX(0,(C25-'P&amp;L'!D40-C12*C16-C13*C18)*'P&amp;L'!$B$44),0)</f>
        <v>-93837</v>
      </c>
      <c r="D27" s="21" t="n">
        <f aca="false">-ROUND(MAX(0,(D25-'P&amp;L'!D40-D12*D16-D13*D18)*'P&amp;L'!$B$44),0)</f>
        <v>-99364</v>
      </c>
    </row>
    <row r="28" customFormat="false" ht="15" hidden="false" customHeight="false" outlineLevel="0" collapsed="false">
      <c r="A28" s="3" t="s">
        <v>267</v>
      </c>
      <c r="B28" s="15" t="n">
        <f aca="false">SUM(B25:B27)</f>
        <v>467568</v>
      </c>
      <c r="C28" s="15" t="n">
        <f aca="false">SUM(C25:C27)</f>
        <v>443861</v>
      </c>
      <c r="D28" s="15" t="n">
        <f aca="false">SUM(D25:D27)</f>
        <v>438334</v>
      </c>
    </row>
    <row r="30" customFormat="false" ht="15" hidden="false" customHeight="false" outlineLevel="0" collapsed="false">
      <c r="A30" s="7" t="s">
        <v>268</v>
      </c>
      <c r="B30" s="37" t="n">
        <f aca="false">IF(B22=0,0,B28/B22)</f>
        <v>0.551677659651049</v>
      </c>
      <c r="C30" s="37" t="n">
        <f aca="false">IF(C22=0,0,C28/C22)</f>
        <v>0.825457828662043</v>
      </c>
      <c r="D30" s="37" t="n">
        <f aca="false">IF(D22=0,0,D28/D22)</f>
        <v>1.55267473966628</v>
      </c>
    </row>
    <row r="31" customFormat="false" ht="15" hidden="false" customHeight="false" outlineLevel="0" collapsed="false">
      <c r="A31" s="13" t="s">
        <v>269</v>
      </c>
      <c r="B31" s="38" t="n">
        <v>1.5</v>
      </c>
      <c r="C31" s="38" t="n">
        <v>1.5</v>
      </c>
      <c r="D31" s="38" t="n">
        <v>1.5</v>
      </c>
    </row>
    <row r="32" customFormat="false" ht="15" hidden="false" customHeight="false" outlineLevel="0" collapsed="false">
      <c r="A32" s="8" t="s">
        <v>270</v>
      </c>
      <c r="B32" s="39" t="str">
        <f aca="false">IF(B30&gt;=B31,"Fundable","Fails")</f>
        <v>Fails</v>
      </c>
      <c r="C32" s="39" t="str">
        <f aca="false">IF(C30&gt;=C31,"Fundable","Fails")</f>
        <v>Fails</v>
      </c>
      <c r="D32" s="39" t="str">
        <f aca="false">IF(D30&gt;=D31,"Fundable","Fails")</f>
        <v>Fundable</v>
      </c>
    </row>
    <row r="34" customFormat="false" ht="15" hidden="false" customHeight="false" outlineLevel="0" collapsed="false">
      <c r="A34" s="11" t="s">
        <v>271</v>
      </c>
      <c r="B34" s="12"/>
      <c r="C34" s="12"/>
      <c r="D34" s="12"/>
      <c r="E34" s="12"/>
    </row>
    <row r="35" customFormat="false" ht="15" hidden="false" customHeight="false" outlineLevel="0" collapsed="false">
      <c r="A35" s="13" t="s">
        <v>272</v>
      </c>
      <c r="B35" s="19" t="n">
        <f aca="false">B28/B31</f>
        <v>311712</v>
      </c>
      <c r="C35" s="19" t="n">
        <f aca="false">C28/C31</f>
        <v>295907.333333333</v>
      </c>
      <c r="D35" s="19" t="n">
        <f aca="false">D28/D31</f>
        <v>292222.666666667</v>
      </c>
    </row>
    <row r="36" customFormat="false" ht="15" hidden="false" customHeight="false" outlineLevel="0" collapsed="false">
      <c r="A36" s="3" t="s">
        <v>273</v>
      </c>
      <c r="B36" s="26" t="n">
        <f aca="false">B35-B22</f>
        <v>-535826.398230136</v>
      </c>
      <c r="C36" s="26" t="n">
        <f aca="false">C35-C22</f>
        <v>-241807.598414833</v>
      </c>
      <c r="D36" s="26" t="n">
        <f aca="false">D35-D22</f>
        <v>9913.70085312304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274</v>
      </c>
    </row>
    <row r="3" customFormat="false" ht="15" hidden="false" customHeight="false" outlineLevel="0" collapsed="false">
      <c r="A3" s="2" t="s">
        <v>37</v>
      </c>
    </row>
    <row r="5" customFormat="false" ht="15" hidden="false" customHeight="false" outlineLevel="0" collapsed="false">
      <c r="A5" s="9" t="s">
        <v>38</v>
      </c>
      <c r="B5" s="10" t="s">
        <v>39</v>
      </c>
      <c r="C5" s="10" t="s">
        <v>40</v>
      </c>
      <c r="D5" s="10" t="s">
        <v>41</v>
      </c>
      <c r="E5" s="9" t="s">
        <v>275</v>
      </c>
    </row>
    <row r="6" customFormat="false" ht="15" hidden="false" customHeight="false" outlineLevel="0" collapsed="false">
      <c r="A6" s="13" t="s">
        <v>276</v>
      </c>
      <c r="B6" s="14" t="n">
        <v>638097</v>
      </c>
      <c r="C6" s="14" t="n">
        <v>778572</v>
      </c>
      <c r="D6" s="14" t="n">
        <v>898533</v>
      </c>
      <c r="E6" s="2" t="s">
        <v>277</v>
      </c>
    </row>
    <row r="7" customFormat="false" ht="15" hidden="false" customHeight="false" outlineLevel="0" collapsed="false">
      <c r="A7" s="13" t="s">
        <v>278</v>
      </c>
      <c r="B7" s="40" t="n">
        <f aca="false">B6/'P&amp;L'!B10</f>
        <v>0.185730984824185</v>
      </c>
      <c r="C7" s="40" t="n">
        <f aca="false">C6/'P&amp;L'!C10</f>
        <v>0.202999102819119</v>
      </c>
      <c r="D7" s="40" t="n">
        <f aca="false">D6/'P&amp;L'!D10</f>
        <v>0.214290773672179</v>
      </c>
      <c r="E7" s="4" t="s">
        <v>279</v>
      </c>
    </row>
    <row r="8" customFormat="false" ht="15" hidden="false" customHeight="false" outlineLevel="0" collapsed="false">
      <c r="A8" s="13" t="s">
        <v>280</v>
      </c>
      <c r="B8" s="16"/>
      <c r="C8" s="40" t="n">
        <f aca="false">'P&amp;L'!C10/'P&amp;L'!B10-1</f>
        <v>0.116354998460239</v>
      </c>
      <c r="D8" s="40" t="n">
        <f aca="false">'P&amp;L'!D10/'P&amp;L'!C10-1</f>
        <v>0.0932661373273396</v>
      </c>
      <c r="E8" s="13" t="s">
        <v>281</v>
      </c>
    </row>
    <row r="9" customFormat="false" ht="23.85" hidden="false" customHeight="false" outlineLevel="0" collapsed="false">
      <c r="A9" s="13" t="s">
        <v>282</v>
      </c>
      <c r="B9" s="40" t="n">
        <f aca="false">'P&amp;L'!B20</f>
        <v>0.357349724851394</v>
      </c>
      <c r="C9" s="40" t="n">
        <f aca="false">'P&amp;L'!C20</f>
        <v>0.35634116026529</v>
      </c>
      <c r="D9" s="40" t="n">
        <f aca="false">'P&amp;L'!D20</f>
        <v>0.350755475423051</v>
      </c>
      <c r="E9" s="4" t="s">
        <v>283</v>
      </c>
    </row>
    <row r="10" customFormat="false" ht="15" hidden="false" customHeight="false" outlineLevel="0" collapsed="false">
      <c r="A10" s="13" t="s">
        <v>206</v>
      </c>
      <c r="B10" s="41" t="n">
        <f aca="false">'Working Capital'!C20</f>
        <v>58.0000381301887</v>
      </c>
      <c r="C10" s="41" t="n">
        <f aca="false">'Working Capital'!D20</f>
        <v>62.0000380669598</v>
      </c>
      <c r="D10" s="41" t="n">
        <f aca="false">'Working Capital'!E20</f>
        <v>66.9999940377601</v>
      </c>
      <c r="E10" s="4" t="s">
        <v>284</v>
      </c>
    </row>
    <row r="11" customFormat="false" ht="15" hidden="false" customHeight="false" outlineLevel="0" collapsed="false">
      <c r="A11" s="13" t="s">
        <v>285</v>
      </c>
      <c r="B11" s="40" t="n">
        <f aca="false">'P&amp;L'!B34/'P&amp;L'!B10</f>
        <v>0.00173914410242409</v>
      </c>
      <c r="C11" s="40" t="n">
        <f aca="false">'P&amp;L'!C34/'P&amp;L'!C10</f>
        <v>0.00234633267863377</v>
      </c>
      <c r="D11" s="40" t="n">
        <f aca="false">'P&amp;L'!D34/'P&amp;L'!D10</f>
        <v>0.00664074284739885</v>
      </c>
      <c r="E11" s="4" t="s">
        <v>286</v>
      </c>
    </row>
    <row r="12" customFormat="false" ht="15" hidden="false" customHeight="false" outlineLevel="0" collapsed="false">
      <c r="A12" s="13" t="s">
        <v>164</v>
      </c>
      <c r="B12" s="40" t="n">
        <f aca="false">'Cash Flow'!B39</f>
        <v>0.743119184856564</v>
      </c>
      <c r="C12" s="40" t="n">
        <f aca="false">'Cash Flow'!C39</f>
        <v>0.644544019478246</v>
      </c>
      <c r="D12" s="40" t="n">
        <f aca="false">'Cash Flow'!D39</f>
        <v>0.577028063344971</v>
      </c>
      <c r="E12" s="4" t="s">
        <v>287</v>
      </c>
    </row>
    <row r="13" customFormat="false" ht="15" hidden="false" customHeight="false" outlineLevel="0" collapsed="false">
      <c r="A13" s="13" t="s">
        <v>288</v>
      </c>
      <c r="B13" s="21" t="n">
        <f aca="false">'Cash Flow'!B40</f>
        <v>243920</v>
      </c>
      <c r="C13" s="21" t="n">
        <f aca="false">'Cash Flow'!C40</f>
        <v>283780</v>
      </c>
      <c r="D13" s="21" t="n">
        <f aca="false">'Cash Flow'!D40</f>
        <v>269303</v>
      </c>
      <c r="E13" s="4" t="s">
        <v>289</v>
      </c>
    </row>
    <row r="14" customFormat="false" ht="15" hidden="false" customHeight="false" outlineLevel="0" collapsed="false">
      <c r="A14" s="13" t="s">
        <v>290</v>
      </c>
      <c r="B14" s="21" t="n">
        <f aca="false">'Cash Flow'!B38</f>
        <v>275752</v>
      </c>
      <c r="C14" s="21" t="n">
        <f aca="false">'Cash Flow'!C38</f>
        <v>271973</v>
      </c>
      <c r="D14" s="21" t="n">
        <f aca="false">'Cash Flow'!D38</f>
        <v>233264</v>
      </c>
      <c r="E14" s="4"/>
    </row>
    <row r="15" customFormat="false" ht="23.85" hidden="false" customHeight="false" outlineLevel="0" collapsed="false">
      <c r="A15" s="13" t="s">
        <v>291</v>
      </c>
      <c r="B15" s="21" t="n">
        <f aca="false">'Balance Sheet'!C12</f>
        <v>84661</v>
      </c>
      <c r="C15" s="21" t="n">
        <f aca="false">'Balance Sheet'!D12</f>
        <v>109495</v>
      </c>
      <c r="D15" s="21" t="n">
        <f aca="false">'Balance Sheet'!E12</f>
        <v>139259</v>
      </c>
      <c r="E15" s="4" t="s">
        <v>292</v>
      </c>
    </row>
    <row r="16" customFormat="false" ht="15" hidden="false" customHeight="false" outlineLevel="0" collapsed="false">
      <c r="A16" s="13" t="s">
        <v>293</v>
      </c>
      <c r="B16" s="21" t="n">
        <f aca="false">'Balance Sheet'!C27+'Balance Sheet'!C28+'Balance Sheet'!C34</f>
        <v>181314</v>
      </c>
      <c r="C16" s="21" t="n">
        <f aca="false">'Balance Sheet'!D27+'Balance Sheet'!D28+'Balance Sheet'!D34</f>
        <v>205901</v>
      </c>
      <c r="D16" s="21" t="n">
        <f aca="false">'Balance Sheet'!E27+'Balance Sheet'!E28+'Balance Sheet'!E34</f>
        <v>231686</v>
      </c>
      <c r="E16" s="4" t="s">
        <v>294</v>
      </c>
    </row>
    <row r="17" customFormat="false" ht="23.85" hidden="false" customHeight="false" outlineLevel="0" collapsed="false">
      <c r="A17" s="13" t="s">
        <v>295</v>
      </c>
      <c r="B17" s="21" t="n">
        <f aca="false">'P&amp;L'!B26</f>
        <v>96160</v>
      </c>
      <c r="C17" s="21" t="n">
        <f aca="false">'P&amp;L'!C26</f>
        <v>95853</v>
      </c>
      <c r="D17" s="21" t="n">
        <f aca="false">'P&amp;L'!D26</f>
        <v>96055</v>
      </c>
      <c r="E17" s="4" t="s">
        <v>296</v>
      </c>
    </row>
    <row r="18" customFormat="false" ht="15" hidden="false" customHeight="false" outlineLevel="0" collapsed="false">
      <c r="A18" s="13" t="s">
        <v>297</v>
      </c>
      <c r="B18" s="40" t="n">
        <f aca="false">'P&amp;L'!B23/'P&amp;L'!B38</f>
        <v>0.396112358804722</v>
      </c>
      <c r="C18" s="40" t="n">
        <f aca="false">'P&amp;L'!C23/'P&amp;L'!C38</f>
        <v>0.331434522183456</v>
      </c>
      <c r="D18" s="40" t="n">
        <f aca="false">'P&amp;L'!D23/'P&amp;L'!D38</f>
        <v>0.320954286010515</v>
      </c>
      <c r="E18" s="4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299</v>
      </c>
    </row>
    <row r="3" customFormat="false" ht="15" hidden="false" customHeight="false" outlineLevel="0" collapsed="false">
      <c r="A3" s="9" t="s">
        <v>300</v>
      </c>
      <c r="B3" s="9" t="s">
        <v>301</v>
      </c>
      <c r="C3" s="9" t="s">
        <v>302</v>
      </c>
    </row>
    <row r="4" customFormat="false" ht="15" hidden="false" customHeight="false" outlineLevel="0" collapsed="false">
      <c r="A4" s="4" t="s">
        <v>303</v>
      </c>
      <c r="B4" s="13" t="s">
        <v>13</v>
      </c>
      <c r="C4" s="4" t="s">
        <v>304</v>
      </c>
    </row>
    <row r="5" customFormat="false" ht="23.85" hidden="false" customHeight="false" outlineLevel="0" collapsed="false">
      <c r="A5" s="4" t="s">
        <v>305</v>
      </c>
      <c r="B5" s="13" t="s">
        <v>9</v>
      </c>
      <c r="C5" s="4" t="s">
        <v>306</v>
      </c>
    </row>
    <row r="6" customFormat="false" ht="15" hidden="false" customHeight="false" outlineLevel="0" collapsed="false">
      <c r="A6" s="4" t="s">
        <v>307</v>
      </c>
      <c r="B6" s="13" t="s">
        <v>17</v>
      </c>
      <c r="C6" s="4" t="s">
        <v>308</v>
      </c>
    </row>
    <row r="7" customFormat="false" ht="23.85" hidden="false" customHeight="false" outlineLevel="0" collapsed="false">
      <c r="A7" s="4" t="s">
        <v>309</v>
      </c>
      <c r="B7" s="13" t="s">
        <v>15</v>
      </c>
      <c r="C7" s="4" t="s">
        <v>310</v>
      </c>
    </row>
    <row r="8" customFormat="false" ht="15" hidden="false" customHeight="false" outlineLevel="0" collapsed="false">
      <c r="A8" s="4" t="s">
        <v>311</v>
      </c>
      <c r="B8" s="13" t="s">
        <v>7</v>
      </c>
      <c r="C8" s="4" t="s">
        <v>312</v>
      </c>
    </row>
    <row r="9" customFormat="false" ht="15" hidden="false" customHeight="false" outlineLevel="0" collapsed="false">
      <c r="A9" s="4" t="s">
        <v>313</v>
      </c>
      <c r="B9" s="13" t="s">
        <v>11</v>
      </c>
      <c r="C9" s="4" t="s">
        <v>314</v>
      </c>
    </row>
    <row r="10" customFormat="false" ht="23.85" hidden="false" customHeight="false" outlineLevel="0" collapsed="false">
      <c r="A10" s="4" t="s">
        <v>315</v>
      </c>
      <c r="B10" s="13" t="s">
        <v>19</v>
      </c>
      <c r="C10" s="4" t="s">
        <v>316</v>
      </c>
    </row>
    <row r="11" customFormat="false" ht="15" hidden="false" customHeight="false" outlineLevel="0" collapsed="false">
      <c r="A11" s="4" t="s">
        <v>317</v>
      </c>
      <c r="B11" s="13" t="s">
        <v>21</v>
      </c>
      <c r="C11" s="4" t="s">
        <v>318</v>
      </c>
    </row>
    <row r="12" customFormat="false" ht="15" hidden="false" customHeight="false" outlineLevel="0" collapsed="false">
      <c r="A12" s="4" t="s">
        <v>319</v>
      </c>
      <c r="B12" s="13" t="s">
        <v>9</v>
      </c>
      <c r="C12" s="4" t="s">
        <v>320</v>
      </c>
    </row>
    <row r="13" customFormat="false" ht="15" hidden="false" customHeight="false" outlineLevel="0" collapsed="false">
      <c r="A13" s="4" t="s">
        <v>321</v>
      </c>
      <c r="B13" s="13" t="s">
        <v>17</v>
      </c>
      <c r="C13" s="4" t="s">
        <v>322</v>
      </c>
    </row>
    <row r="14" customFormat="false" ht="15" hidden="false" customHeight="false" outlineLevel="0" collapsed="false">
      <c r="A14" s="4" t="s">
        <v>323</v>
      </c>
      <c r="B14" s="13" t="s">
        <v>324</v>
      </c>
      <c r="C14" s="4" t="s">
        <v>325</v>
      </c>
    </row>
    <row r="15" customFormat="false" ht="15" hidden="false" customHeight="false" outlineLevel="0" collapsed="false">
      <c r="A15" s="4" t="s">
        <v>326</v>
      </c>
      <c r="B15" s="13" t="s">
        <v>327</v>
      </c>
      <c r="C15" s="4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2026-10-28T00:19:23Z</dcterms:created>
  <dc:creator>openpyxl</dc:creator>
  <dc:description/>
  <dc:language>en-US</dc:language>
  <cp:lastModifiedBy/>
  <dcterms:modified xsi:type="dcterms:W3CDTF">2026-10-28T00:19:23Z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